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" sheetId="1" r:id="rId5"/>
    <sheet state="visible" name="Data" sheetId="2" r:id="rId6"/>
    <sheet state="visible" name="Solution" sheetId="3" r:id="rId7"/>
  </sheets>
  <definedNames/>
  <calcPr/>
</workbook>
</file>

<file path=xl/sharedStrings.xml><?xml version="1.0" encoding="utf-8"?>
<sst xmlns="http://schemas.openxmlformats.org/spreadsheetml/2006/main" count="720" uniqueCount="293">
  <si>
    <t>Case Study: Building a Delivery Performance Dashboard for XYZ Logistics</t>
  </si>
  <si>
    <t>Background</t>
  </si>
  <si>
    <t>XYZ Logistics is a mid-sized company specializing in last-mile deliveries in a metropolitan city. They operate in four zones: North, South, East, and West. Due to a recent increase in order volume, fuel costs, and delivery delays, the management wants a dashboard to monitor operational performance and identify areas for improvement.</t>
  </si>
  <si>
    <t>The dashboard will help:</t>
  </si>
  <si>
    <t>Monitor delivery performance metrics.</t>
  </si>
  <si>
    <t>Identify delays and their root causes.</t>
  </si>
  <si>
    <t>Track cost efficiency.</t>
  </si>
  <si>
    <t>Visualize trends for actionable insights.</t>
  </si>
  <si>
    <t>Scenario</t>
  </si>
  <si>
    <t>You are hired as a logistics analyst at XYZ Logistics. Your manager has tasked you with creating a dashboard using the provided dataset. The dashboard should be visually appealing and provide actionable insights for the operations team.</t>
  </si>
  <si>
    <t>Here is the sample dataset for one week's deliveries:</t>
  </si>
  <si>
    <t>| Delivery ID | Zone | Date | Time of Order | Distance (km) | Delivery Time (mins) | Peak Hour (Yes/No) | Delivery Status (On-Time/Delayed) | Fuel Used (liters) | Delivery Cost ($) | Customer Rating (1-5) | |-------------|--------|------------|---------------|---------------|-----------------------|-----------------------------------|--------------------|-------------------|-----------------------| | D001 | North | 2024-11-10 | 8:30 AM | 15 | 120 | Yes | Delayed | 3.0 | 10.0 | 3 | | D002 | South | 2024-11-10 | 9:00 AM | 5 | 45 | Yes | On-Time | 1.5 | 5.0 | 4 | | D003 | East | 2024-11-10 | 3:00 PM | 10 | 60 | No | On-Time | 2.5 | 7.5 | 5 | | D004 | West | 2024-11-10 | 5:15 PM | 20 | 150 | Yes | Delayed | 4.0 | 15.0 | 2 | | D005 | North | 2024-11-11 | 11:00 AM | 7 | 30 | No | On-Time | 1.8 | 6.0 | 4 | | D006 | South | 2024-11-11 | 12:00 PM | 12 | 90 | No | Delayed | 3.2 | 12.0 | 3 | | D007 | East | 2024-11-11 | 6:00 PM | 8 | 45 | Yes | On-Time | 2.0 | 8.0 | 5 | | ... | ... | ... | ... | ... | ... | ... | ... | ... | ... | ... |</t>
  </si>
  <si>
    <t>Task for Candidates</t>
  </si>
  <si>
    <t>You are required to create an interactive dashboard that answers the following questions:</t>
  </si>
  <si>
    <t>Delivery Performance</t>
  </si>
  <si>
    <t>What is the on-time delivery rate for each zone?</t>
  </si>
  <si>
    <t>Which zones experience the most delays?</t>
  </si>
  <si>
    <t>Operational Efficiency</t>
  </si>
  <si>
    <t>What is the average delivery time (mins) across all zones?</t>
  </si>
  <si>
    <t>How does peak-hour traffic impact delivery times and costs?</t>
  </si>
  <si>
    <t>Cost and Fuel Analysis</t>
  </si>
  <si>
    <t>Which zone has the highest average fuel consumption per delivery?</t>
  </si>
  <si>
    <t>What is the average delivery cost per zone?</t>
  </si>
  <si>
    <t>Customer Feedback</t>
  </si>
  <si>
    <t>Which zones have the highest and lowest customer ratings?</t>
  </si>
  <si>
    <t>Are there correlations between delayed deliveries and lower customer ratings?</t>
  </si>
  <si>
    <t>Trends and Patterns</t>
  </si>
  <si>
    <t>How do delays and costs vary by day of the week?</t>
  </si>
  <si>
    <t>Can you identify trends in fuel usage across zones and peak hours?</t>
  </si>
  <si>
    <t>Delivery ID</t>
  </si>
  <si>
    <t>Zone</t>
  </si>
  <si>
    <t>Date</t>
  </si>
  <si>
    <t>Time of Order</t>
  </si>
  <si>
    <t>Day of Week</t>
  </si>
  <si>
    <t>Distance (km)</t>
  </si>
  <si>
    <t>Delivery Time (mins)</t>
  </si>
  <si>
    <t>Peak Hour (Yes/No)</t>
  </si>
  <si>
    <t>Delivery Status (On-Time/Delayed)</t>
  </si>
  <si>
    <t>Fuel Used (liters)</t>
  </si>
  <si>
    <t>Delivery Cost ($)</t>
  </si>
  <si>
    <t>Customer Rating (1-5)</t>
  </si>
  <si>
    <t>Total Deliveries</t>
  </si>
  <si>
    <t>D001</t>
  </si>
  <si>
    <t>West</t>
  </si>
  <si>
    <t>2024-11-11</t>
  </si>
  <si>
    <t>06:48 AM</t>
  </si>
  <si>
    <t>No</t>
  </si>
  <si>
    <t>Delayed</t>
  </si>
  <si>
    <t>D002</t>
  </si>
  <si>
    <t>East</t>
  </si>
  <si>
    <t>2024-11-16</t>
  </si>
  <si>
    <t>12:48 PM</t>
  </si>
  <si>
    <t>D003</t>
  </si>
  <si>
    <t>North</t>
  </si>
  <si>
    <t>2024-11-13</t>
  </si>
  <si>
    <t>03:33 PM</t>
  </si>
  <si>
    <t>On-Time</t>
  </si>
  <si>
    <t>D004</t>
  </si>
  <si>
    <t>2024-11-15</t>
  </si>
  <si>
    <t>10:56 AM</t>
  </si>
  <si>
    <t>Yes</t>
  </si>
  <si>
    <t>D005</t>
  </si>
  <si>
    <t>2024-11-10</t>
  </si>
  <si>
    <t>03:40 PM</t>
  </si>
  <si>
    <t>D006</t>
  </si>
  <si>
    <t>South</t>
  </si>
  <si>
    <t>08:33 AM</t>
  </si>
  <si>
    <t>D007</t>
  </si>
  <si>
    <t>06:14 AM</t>
  </si>
  <si>
    <t>D008</t>
  </si>
  <si>
    <t>D009</t>
  </si>
  <si>
    <t>2024-11-14</t>
  </si>
  <si>
    <t>07:28 PM</t>
  </si>
  <si>
    <t>D010</t>
  </si>
  <si>
    <t>10:10 AM</t>
  </si>
  <si>
    <t>D011</t>
  </si>
  <si>
    <t>08:08 AM</t>
  </si>
  <si>
    <t>D012</t>
  </si>
  <si>
    <t>06:10 PM</t>
  </si>
  <si>
    <t>D013</t>
  </si>
  <si>
    <t>07:43 PM</t>
  </si>
  <si>
    <t>D014</t>
  </si>
  <si>
    <t>02:28 PM</t>
  </si>
  <si>
    <t>D015</t>
  </si>
  <si>
    <t>D016</t>
  </si>
  <si>
    <t>2024-11-12</t>
  </si>
  <si>
    <t>08:11 PM</t>
  </si>
  <si>
    <t>D017</t>
  </si>
  <si>
    <t>12:02 PM</t>
  </si>
  <si>
    <t>D018</t>
  </si>
  <si>
    <t>06:59 PM</t>
  </si>
  <si>
    <t>D019</t>
  </si>
  <si>
    <t>02:50 PM</t>
  </si>
  <si>
    <t>D020</t>
  </si>
  <si>
    <t>11:59 AM</t>
  </si>
  <si>
    <t>D021</t>
  </si>
  <si>
    <t>06:37 PM</t>
  </si>
  <si>
    <t>D022</t>
  </si>
  <si>
    <t>08:00 AM</t>
  </si>
  <si>
    <t>D023</t>
  </si>
  <si>
    <t>07:11 PM</t>
  </si>
  <si>
    <t>D024</t>
  </si>
  <si>
    <t>02:27 PM</t>
  </si>
  <si>
    <t>D025</t>
  </si>
  <si>
    <t>01:39 PM</t>
  </si>
  <si>
    <t>D026</t>
  </si>
  <si>
    <t>08:18 PM</t>
  </si>
  <si>
    <t>D027</t>
  </si>
  <si>
    <t>07:30 AM</t>
  </si>
  <si>
    <t>D028</t>
  </si>
  <si>
    <t>01:37 PM</t>
  </si>
  <si>
    <t>D029</t>
  </si>
  <si>
    <t>01:23 PM</t>
  </si>
  <si>
    <t>D030</t>
  </si>
  <si>
    <t>11:58 AM</t>
  </si>
  <si>
    <t>D031</t>
  </si>
  <si>
    <t>07:09 PM</t>
  </si>
  <si>
    <t>D032</t>
  </si>
  <si>
    <t>10:21 AM</t>
  </si>
  <si>
    <t>D033</t>
  </si>
  <si>
    <t>12:55 PM</t>
  </si>
  <si>
    <t>D034</t>
  </si>
  <si>
    <t>07:42 AM</t>
  </si>
  <si>
    <t>D035</t>
  </si>
  <si>
    <t>08:41 PM</t>
  </si>
  <si>
    <t>D036</t>
  </si>
  <si>
    <t>11:53 AM</t>
  </si>
  <si>
    <t>D037</t>
  </si>
  <si>
    <t>02:08 PM</t>
  </si>
  <si>
    <t>D038</t>
  </si>
  <si>
    <t>09:10 AM</t>
  </si>
  <si>
    <t>D039</t>
  </si>
  <si>
    <t>06:17 PM</t>
  </si>
  <si>
    <t>D040</t>
  </si>
  <si>
    <t>06:54 AM</t>
  </si>
  <si>
    <t>D041</t>
  </si>
  <si>
    <t>08:59 PM</t>
  </si>
  <si>
    <t>D042</t>
  </si>
  <si>
    <t>06:44 PM</t>
  </si>
  <si>
    <t>D043</t>
  </si>
  <si>
    <t>08:07 AM</t>
  </si>
  <si>
    <t>D044</t>
  </si>
  <si>
    <t>11:56 AM</t>
  </si>
  <si>
    <t>D045</t>
  </si>
  <si>
    <t>03:37 PM</t>
  </si>
  <si>
    <t>D046</t>
  </si>
  <si>
    <t>07:36 AM</t>
  </si>
  <si>
    <t>D047</t>
  </si>
  <si>
    <t>05:30 PM</t>
  </si>
  <si>
    <t>D048</t>
  </si>
  <si>
    <t>D049</t>
  </si>
  <si>
    <t>10:45 AM</t>
  </si>
  <si>
    <t>D050</t>
  </si>
  <si>
    <t>03:41 PM</t>
  </si>
  <si>
    <t>D051</t>
  </si>
  <si>
    <t>06:40 AM</t>
  </si>
  <si>
    <t>D052</t>
  </si>
  <si>
    <t>D053</t>
  </si>
  <si>
    <t>06:36 PM</t>
  </si>
  <si>
    <t>D054</t>
  </si>
  <si>
    <t>12:36 PM</t>
  </si>
  <si>
    <t>D055</t>
  </si>
  <si>
    <t>09:12 AM</t>
  </si>
  <si>
    <t>D056</t>
  </si>
  <si>
    <t>02:14 PM</t>
  </si>
  <si>
    <t>D057</t>
  </si>
  <si>
    <t>08:52 PM</t>
  </si>
  <si>
    <t>D058</t>
  </si>
  <si>
    <t>05:52 PM</t>
  </si>
  <si>
    <t>D059</t>
  </si>
  <si>
    <t>02:37 PM</t>
  </si>
  <si>
    <t>D060</t>
  </si>
  <si>
    <t>03:55 PM</t>
  </si>
  <si>
    <t>D061</t>
  </si>
  <si>
    <t>03:00 PM</t>
  </si>
  <si>
    <t>D062</t>
  </si>
  <si>
    <t>08:23 PM</t>
  </si>
  <si>
    <t>D063</t>
  </si>
  <si>
    <t>08:32 PM</t>
  </si>
  <si>
    <t>D064</t>
  </si>
  <si>
    <t>12:29 PM</t>
  </si>
  <si>
    <t>D065</t>
  </si>
  <si>
    <t>09:34 AM</t>
  </si>
  <si>
    <t>D066</t>
  </si>
  <si>
    <t>10:44 AM</t>
  </si>
  <si>
    <t>D067</t>
  </si>
  <si>
    <t>07:39 PM</t>
  </si>
  <si>
    <t>D068</t>
  </si>
  <si>
    <t>07:58 AM</t>
  </si>
  <si>
    <t>D069</t>
  </si>
  <si>
    <t>08:37 AM</t>
  </si>
  <si>
    <t>D070</t>
  </si>
  <si>
    <t>12:33 PM</t>
  </si>
  <si>
    <t>D071</t>
  </si>
  <si>
    <t>05:59 PM</t>
  </si>
  <si>
    <t>D072</t>
  </si>
  <si>
    <t>12:15 PM</t>
  </si>
  <si>
    <t>D073</t>
  </si>
  <si>
    <t>07:32 AM</t>
  </si>
  <si>
    <t>D074</t>
  </si>
  <si>
    <t>05:24 PM</t>
  </si>
  <si>
    <t>D075</t>
  </si>
  <si>
    <t>07:11 AM</t>
  </si>
  <si>
    <t>D076</t>
  </si>
  <si>
    <t>08:58 PM</t>
  </si>
  <si>
    <t>D077</t>
  </si>
  <si>
    <t>01:03 PM</t>
  </si>
  <si>
    <t>D078</t>
  </si>
  <si>
    <t>04:14 PM</t>
  </si>
  <si>
    <t>D079</t>
  </si>
  <si>
    <t>02:22 PM</t>
  </si>
  <si>
    <t>D080</t>
  </si>
  <si>
    <t>09:38 AM</t>
  </si>
  <si>
    <t>D081</t>
  </si>
  <si>
    <t>07:01 PM</t>
  </si>
  <si>
    <t>D082</t>
  </si>
  <si>
    <t>04:01 PM</t>
  </si>
  <si>
    <t>D083</t>
  </si>
  <si>
    <t>09:28 AM</t>
  </si>
  <si>
    <t>D084</t>
  </si>
  <si>
    <t>D085</t>
  </si>
  <si>
    <t>D086</t>
  </si>
  <si>
    <t>05:14 PM</t>
  </si>
  <si>
    <t>D087</t>
  </si>
  <si>
    <t>01:02 PM</t>
  </si>
  <si>
    <t>D088</t>
  </si>
  <si>
    <t>11:16 AM</t>
  </si>
  <si>
    <t>D089</t>
  </si>
  <si>
    <t>01:35 PM</t>
  </si>
  <si>
    <t>D090</t>
  </si>
  <si>
    <t>12:20 PM</t>
  </si>
  <si>
    <t>D091</t>
  </si>
  <si>
    <t>11:24 AM</t>
  </si>
  <si>
    <t>D092</t>
  </si>
  <si>
    <t>06:27 AM</t>
  </si>
  <si>
    <t>D093</t>
  </si>
  <si>
    <t>02:56 PM</t>
  </si>
  <si>
    <t>D094</t>
  </si>
  <si>
    <t>04:51 PM</t>
  </si>
  <si>
    <t>D095</t>
  </si>
  <si>
    <t>09:52 AM</t>
  </si>
  <si>
    <t>D096</t>
  </si>
  <si>
    <t>D097</t>
  </si>
  <si>
    <t>06:45 AM</t>
  </si>
  <si>
    <t>D098</t>
  </si>
  <si>
    <t>06:08 AM</t>
  </si>
  <si>
    <t>D099</t>
  </si>
  <si>
    <t>09:15 AM</t>
  </si>
  <si>
    <t>D100</t>
  </si>
  <si>
    <t>10:13 AM</t>
  </si>
  <si>
    <t>DELIVERY PERFORMANCE</t>
  </si>
  <si>
    <t>1️⃣ On-Time Delivery Rate per Zone</t>
  </si>
  <si>
    <t>Zone's</t>
  </si>
  <si>
    <t>ON-Time Delivery (In Percentage)</t>
  </si>
  <si>
    <t>2️⃣ Zone with Most Delays</t>
  </si>
  <si>
    <t>Most Delays</t>
  </si>
  <si>
    <t>Biggest Delay Number</t>
  </si>
  <si>
    <t xml:space="preserve">Maximum Delayed Zone  </t>
  </si>
  <si>
    <t>OPERATIONAL EFFICIENCY</t>
  </si>
  <si>
    <t>3️⃣ Average Delivery Time (mins) Across All Zones</t>
  </si>
  <si>
    <t>Average Delivery Time (mins) Across All Zones</t>
  </si>
  <si>
    <t>4️⃣ Peak Hour Impact (on Delivery Time &amp; Cost)</t>
  </si>
  <si>
    <t>Average Delivery Time (Peak Hours = Yes):</t>
  </si>
  <si>
    <t>Average Delivery Time (Peak Hours = No):</t>
  </si>
  <si>
    <t>Average Delivery Cost (Peak Hours = Yes):</t>
  </si>
  <si>
    <t>Average Delivery Cost (Peak Hours = No):</t>
  </si>
  <si>
    <t>COST &amp; FUEL ANALYSIS</t>
  </si>
  <si>
    <t>5️⃣ Average Fuel Consumption per Zone</t>
  </si>
  <si>
    <t>Fuel Consumption</t>
  </si>
  <si>
    <t>Maximum Fuel Used Number</t>
  </si>
  <si>
    <t xml:space="preserve">Maximum Fuel Used Zone  </t>
  </si>
  <si>
    <t>6️⃣ Average Delivery Cost per Zone</t>
  </si>
  <si>
    <t>Average Delivery Cost</t>
  </si>
  <si>
    <t>CUSTOMER FEEDBACK</t>
  </si>
  <si>
    <t>Average Customer Rating per Zone</t>
  </si>
  <si>
    <t>To find highest-rated zone:</t>
  </si>
  <si>
    <t>To find lowest:</t>
  </si>
  <si>
    <t>8️⃣ Correlation Between Delays and Ratings</t>
  </si>
  <si>
    <t>Average Rating for On-Time Deliveries:</t>
  </si>
  <si>
    <t>Average Rating for Delayed Deliveries:</t>
  </si>
  <si>
    <t>TRENDS &amp; PATTERNS</t>
  </si>
  <si>
    <t>9️⃣ Delays and Costs by Day of Week</t>
  </si>
  <si>
    <t>% Delayed Deliveries</t>
  </si>
  <si>
    <t>Avg Delivery Cost ($)</t>
  </si>
  <si>
    <t>Monday</t>
  </si>
  <si>
    <t xml:space="preserve">Tuesday </t>
  </si>
  <si>
    <t xml:space="preserve">Wednesday </t>
  </si>
  <si>
    <t>Thursday</t>
  </si>
  <si>
    <t xml:space="preserve">Friday </t>
  </si>
  <si>
    <t>Saturday</t>
  </si>
  <si>
    <t xml:space="preserve">Sunday </t>
  </si>
  <si>
    <t>Average Fuel ( Peak Hour = Yes)</t>
  </si>
  <si>
    <t>Average Fuel ( Peak Hour = No):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</si>
</sst>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left"/>
    </xf>
    <xf borderId="1" fillId="0" fontId="2" numFmtId="0" xfId="0" applyAlignment="1" applyBorder="1" applyFont="1">
      <alignment horizontal="center"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0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1" fillId="0" fontId="3" numFmtId="10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2" fillId="0" fontId="3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/>
    </xf>
    <xf borderId="6" fillId="0" fontId="6" numFmtId="0" xfId="0" applyBorder="1" applyFont="1"/>
    <xf borderId="7" fillId="0" fontId="6" numFmtId="0" xfId="0" applyBorder="1" applyFont="1"/>
    <xf borderId="2" fillId="0" fontId="3" numFmtId="0" xfId="0" applyAlignment="1" applyBorder="1" applyFont="1">
      <alignment horizontal="center"/>
    </xf>
    <xf borderId="0" fillId="0" fontId="3" numFmtId="4" xfId="0" applyFont="1" applyNumberFormat="1"/>
    <xf borderId="0" fillId="0" fontId="5" numFmtId="0" xfId="0" applyAlignment="1" applyFont="1">
      <alignment horizontal="left" readingOrder="0"/>
    </xf>
    <xf borderId="0" fillId="0" fontId="3" numFmtId="4" xfId="0" applyAlignment="1" applyFont="1" applyNumberFormat="1">
      <alignment horizontal="right" readingOrder="0"/>
    </xf>
    <xf borderId="0" fillId="0" fontId="3" numFmtId="0" xfId="0" applyFont="1"/>
    <xf borderId="1" fillId="0" fontId="3" numFmtId="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</row>
    <row r="6" ht="14.25" customHeight="1"/>
    <row r="7" ht="14.25" customHeight="1">
      <c r="A7" s="2" t="s">
        <v>1</v>
      </c>
    </row>
    <row r="8" ht="14.25" customHeight="1">
      <c r="A8" s="3" t="s">
        <v>2</v>
      </c>
    </row>
    <row r="9" ht="14.25" customHeight="1"/>
    <row r="10" ht="14.25" customHeight="1">
      <c r="A10" s="3" t="s">
        <v>3</v>
      </c>
    </row>
    <row r="11" ht="14.25" customHeight="1"/>
    <row r="12" ht="14.25" customHeight="1">
      <c r="A12" s="3" t="s">
        <v>4</v>
      </c>
    </row>
    <row r="13" ht="14.25" customHeight="1">
      <c r="A13" s="3" t="s">
        <v>5</v>
      </c>
    </row>
    <row r="14" ht="14.25" customHeight="1">
      <c r="A14" s="3" t="s">
        <v>6</v>
      </c>
    </row>
    <row r="15" ht="14.25" customHeight="1">
      <c r="A15" s="3" t="s">
        <v>7</v>
      </c>
      <c r="F15" s="4"/>
    </row>
    <row r="16" ht="14.25" customHeight="1"/>
    <row r="17" ht="14.25" customHeight="1"/>
    <row r="18" ht="14.25" customHeight="1"/>
    <row r="19" ht="14.25" customHeight="1">
      <c r="A19" s="2" t="s">
        <v>8</v>
      </c>
    </row>
    <row r="20" ht="14.25" customHeight="1">
      <c r="A20" s="3" t="s">
        <v>9</v>
      </c>
    </row>
    <row r="21" ht="14.25" customHeight="1"/>
    <row r="22" ht="14.25" customHeight="1">
      <c r="A22" s="3" t="s">
        <v>10</v>
      </c>
    </row>
    <row r="23" ht="14.25" customHeight="1"/>
    <row r="24" ht="14.25" customHeight="1">
      <c r="A24" s="3" t="s">
        <v>11</v>
      </c>
    </row>
    <row r="25" ht="14.25" customHeight="1"/>
    <row r="26" ht="14.25" customHeight="1"/>
    <row r="27" ht="14.25" customHeight="1"/>
    <row r="28" ht="14.25" customHeight="1">
      <c r="A28" s="2" t="s">
        <v>12</v>
      </c>
    </row>
    <row r="29" ht="14.25" customHeight="1">
      <c r="A29" s="3" t="s">
        <v>13</v>
      </c>
    </row>
    <row r="30" ht="14.25" customHeight="1"/>
    <row r="31" ht="14.25" customHeight="1">
      <c r="A31" s="2" t="s">
        <v>14</v>
      </c>
    </row>
    <row r="32" ht="14.25" customHeight="1"/>
    <row r="33" ht="14.25" customHeight="1"/>
    <row r="34" ht="14.25" customHeight="1">
      <c r="A34" s="5" t="s">
        <v>15</v>
      </c>
    </row>
    <row r="35" ht="14.25" customHeight="1">
      <c r="A35" s="5" t="s">
        <v>16</v>
      </c>
    </row>
    <row r="36" ht="14.25" customHeight="1"/>
    <row r="37" ht="14.25" customHeight="1">
      <c r="A37" s="2" t="s">
        <v>17</v>
      </c>
    </row>
    <row r="38" ht="14.25" customHeight="1"/>
    <row r="39" ht="14.25" customHeight="1"/>
    <row r="40" ht="14.25" customHeight="1">
      <c r="A40" s="5" t="s">
        <v>18</v>
      </c>
    </row>
    <row r="41" ht="14.25" customHeight="1">
      <c r="A41" s="5" t="s">
        <v>19</v>
      </c>
    </row>
    <row r="42" ht="14.25" customHeight="1"/>
    <row r="43" ht="14.25" customHeight="1">
      <c r="A43" s="2" t="s">
        <v>20</v>
      </c>
    </row>
    <row r="44" ht="14.25" customHeight="1"/>
    <row r="45" ht="14.25" customHeight="1"/>
    <row r="46" ht="14.25" customHeight="1">
      <c r="A46" s="5" t="s">
        <v>21</v>
      </c>
    </row>
    <row r="47" ht="14.25" customHeight="1">
      <c r="A47" s="5" t="s">
        <v>22</v>
      </c>
    </row>
    <row r="48" ht="14.25" customHeight="1"/>
    <row r="49" ht="14.25" customHeight="1">
      <c r="A49" s="2" t="s">
        <v>23</v>
      </c>
    </row>
    <row r="50" ht="14.25" customHeight="1"/>
    <row r="51" ht="14.25" customHeight="1"/>
    <row r="52" ht="14.25" customHeight="1">
      <c r="A52" s="5" t="s">
        <v>24</v>
      </c>
    </row>
    <row r="53" ht="14.25" customHeight="1">
      <c r="A53" s="5" t="s">
        <v>25</v>
      </c>
    </row>
    <row r="54" ht="14.25" customHeight="1"/>
    <row r="55" ht="14.25" customHeight="1">
      <c r="A55" s="2" t="s">
        <v>26</v>
      </c>
    </row>
    <row r="56" ht="14.25" customHeight="1"/>
    <row r="57" ht="14.25" customHeight="1"/>
    <row r="58" ht="14.25" customHeight="1">
      <c r="A58" s="5" t="s">
        <v>27</v>
      </c>
    </row>
    <row r="59" ht="14.25" customHeight="1">
      <c r="A59" s="5" t="s">
        <v>28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6.43"/>
    <col customWidth="1" min="3" max="3" width="11.0"/>
    <col customWidth="1" min="4" max="6" width="13.57"/>
    <col customWidth="1" min="7" max="7" width="19.57"/>
    <col customWidth="1" min="8" max="8" width="19.0"/>
    <col customWidth="1" min="9" max="9" width="33.14"/>
    <col customWidth="1" min="10" max="10" width="16.29"/>
    <col customWidth="1" min="11" max="11" width="15.86"/>
    <col customWidth="1" min="12" max="12" width="21.14"/>
    <col customWidth="1" min="13" max="13" width="14.43"/>
    <col customWidth="1" min="14" max="27" width="9.0"/>
  </cols>
  <sheetData>
    <row r="1" ht="14.25" customHeight="1">
      <c r="A1" s="6" t="s">
        <v>29</v>
      </c>
      <c r="B1" s="6" t="s">
        <v>30</v>
      </c>
      <c r="C1" s="6" t="s">
        <v>31</v>
      </c>
      <c r="D1" s="6" t="s">
        <v>32</v>
      </c>
      <c r="E1" s="7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7" t="s">
        <v>41</v>
      </c>
    </row>
    <row r="2" ht="14.25" customHeight="1">
      <c r="A2" s="3" t="s">
        <v>42</v>
      </c>
      <c r="B2" s="3" t="s">
        <v>43</v>
      </c>
      <c r="C2" s="3" t="s">
        <v>44</v>
      </c>
      <c r="D2" s="3" t="s">
        <v>45</v>
      </c>
      <c r="E2" s="3" t="str">
        <f t="shared" ref="E2:E101" si="1">TEXT(C2, "dddd")</f>
        <v>Monday</v>
      </c>
      <c r="F2" s="3">
        <v>24.0</v>
      </c>
      <c r="G2" s="3">
        <v>83.0</v>
      </c>
      <c r="H2" s="3" t="s">
        <v>46</v>
      </c>
      <c r="I2" s="3" t="s">
        <v>47</v>
      </c>
      <c r="J2" s="3">
        <v>5.07</v>
      </c>
      <c r="K2" s="3">
        <v>24.9</v>
      </c>
      <c r="L2" s="3">
        <v>5.0</v>
      </c>
      <c r="M2" s="8">
        <v>1.0</v>
      </c>
    </row>
    <row r="3" ht="14.25" customHeight="1">
      <c r="A3" s="3" t="s">
        <v>48</v>
      </c>
      <c r="B3" s="3" t="s">
        <v>49</v>
      </c>
      <c r="C3" s="3" t="s">
        <v>50</v>
      </c>
      <c r="D3" s="3" t="s">
        <v>51</v>
      </c>
      <c r="E3" s="3" t="str">
        <f t="shared" si="1"/>
        <v>Saturday</v>
      </c>
      <c r="F3" s="3">
        <v>21.0</v>
      </c>
      <c r="G3" s="3">
        <v>68.0</v>
      </c>
      <c r="H3" s="3" t="s">
        <v>46</v>
      </c>
      <c r="I3" s="3" t="s">
        <v>47</v>
      </c>
      <c r="J3" s="3">
        <v>4.32</v>
      </c>
      <c r="K3" s="3">
        <v>24.86</v>
      </c>
      <c r="L3" s="3">
        <v>5.0</v>
      </c>
      <c r="M3" s="8">
        <v>1.0</v>
      </c>
    </row>
    <row r="4" ht="14.25" customHeight="1">
      <c r="A4" s="3" t="s">
        <v>52</v>
      </c>
      <c r="B4" s="3" t="s">
        <v>53</v>
      </c>
      <c r="C4" s="3" t="s">
        <v>54</v>
      </c>
      <c r="D4" s="3" t="s">
        <v>55</v>
      </c>
      <c r="E4" s="3" t="str">
        <f t="shared" si="1"/>
        <v>Wednesday</v>
      </c>
      <c r="F4" s="3">
        <v>9.0</v>
      </c>
      <c r="G4" s="3">
        <v>77.0</v>
      </c>
      <c r="H4" s="3" t="s">
        <v>46</v>
      </c>
      <c r="I4" s="3" t="s">
        <v>56</v>
      </c>
      <c r="J4" s="3">
        <v>2.29</v>
      </c>
      <c r="K4" s="3">
        <v>18.95</v>
      </c>
      <c r="L4" s="3">
        <v>3.0</v>
      </c>
      <c r="M4" s="8">
        <v>1.0</v>
      </c>
    </row>
    <row r="5" ht="14.25" customHeight="1">
      <c r="A5" s="3" t="s">
        <v>57</v>
      </c>
      <c r="B5" s="3" t="s">
        <v>53</v>
      </c>
      <c r="C5" s="3" t="s">
        <v>58</v>
      </c>
      <c r="D5" s="3" t="s">
        <v>59</v>
      </c>
      <c r="E5" s="3" t="str">
        <f t="shared" si="1"/>
        <v>Friday</v>
      </c>
      <c r="F5" s="3">
        <v>8.0</v>
      </c>
      <c r="G5" s="3">
        <v>127.0</v>
      </c>
      <c r="H5" s="3" t="s">
        <v>60</v>
      </c>
      <c r="I5" s="3" t="s">
        <v>56</v>
      </c>
      <c r="J5" s="3">
        <v>1.76</v>
      </c>
      <c r="K5" s="3">
        <v>17.7</v>
      </c>
      <c r="L5" s="3">
        <v>1.0</v>
      </c>
      <c r="M5" s="8">
        <v>1.0</v>
      </c>
    </row>
    <row r="6" ht="14.25" customHeight="1">
      <c r="A6" s="3" t="s">
        <v>61</v>
      </c>
      <c r="B6" s="3" t="s">
        <v>49</v>
      </c>
      <c r="C6" s="3" t="s">
        <v>62</v>
      </c>
      <c r="D6" s="3" t="s">
        <v>63</v>
      </c>
      <c r="E6" s="3" t="str">
        <f t="shared" si="1"/>
        <v>Sunday</v>
      </c>
      <c r="F6" s="3">
        <v>16.0</v>
      </c>
      <c r="G6" s="3">
        <v>121.0</v>
      </c>
      <c r="H6" s="3" t="s">
        <v>46</v>
      </c>
      <c r="I6" s="3" t="s">
        <v>56</v>
      </c>
      <c r="J6" s="3">
        <v>3.57</v>
      </c>
      <c r="K6" s="3">
        <v>14.06</v>
      </c>
      <c r="L6" s="3">
        <v>4.0</v>
      </c>
      <c r="M6" s="8">
        <v>1.0</v>
      </c>
    </row>
    <row r="7" ht="14.25" customHeight="1">
      <c r="A7" s="3" t="s">
        <v>64</v>
      </c>
      <c r="B7" s="3" t="s">
        <v>65</v>
      </c>
      <c r="C7" s="3" t="s">
        <v>54</v>
      </c>
      <c r="D7" s="3" t="s">
        <v>66</v>
      </c>
      <c r="E7" s="3" t="str">
        <f t="shared" si="1"/>
        <v>Wednesday</v>
      </c>
      <c r="F7" s="3">
        <v>20.0</v>
      </c>
      <c r="G7" s="3">
        <v>138.0</v>
      </c>
      <c r="H7" s="3" t="s">
        <v>60</v>
      </c>
      <c r="I7" s="3" t="s">
        <v>47</v>
      </c>
      <c r="J7" s="3">
        <v>4.16</v>
      </c>
      <c r="K7" s="3">
        <v>21.93</v>
      </c>
      <c r="L7" s="3">
        <v>4.0</v>
      </c>
      <c r="M7" s="8">
        <v>1.0</v>
      </c>
    </row>
    <row r="8" ht="14.25" customHeight="1">
      <c r="A8" s="3" t="s">
        <v>67</v>
      </c>
      <c r="B8" s="3" t="s">
        <v>49</v>
      </c>
      <c r="C8" s="3" t="s">
        <v>44</v>
      </c>
      <c r="D8" s="3" t="s">
        <v>68</v>
      </c>
      <c r="E8" s="3" t="str">
        <f t="shared" si="1"/>
        <v>Monday</v>
      </c>
      <c r="F8" s="3">
        <v>18.0</v>
      </c>
      <c r="G8" s="3">
        <v>42.0</v>
      </c>
      <c r="H8" s="3" t="s">
        <v>46</v>
      </c>
      <c r="I8" s="3" t="s">
        <v>47</v>
      </c>
      <c r="J8" s="3">
        <v>4.05</v>
      </c>
      <c r="K8" s="3">
        <v>21.38</v>
      </c>
      <c r="L8" s="3">
        <v>4.0</v>
      </c>
      <c r="M8" s="8">
        <v>1.0</v>
      </c>
    </row>
    <row r="9" ht="14.25" customHeight="1">
      <c r="A9" s="3" t="s">
        <v>69</v>
      </c>
      <c r="B9" s="3" t="s">
        <v>49</v>
      </c>
      <c r="C9" s="3" t="s">
        <v>58</v>
      </c>
      <c r="D9" s="3" t="s">
        <v>51</v>
      </c>
      <c r="E9" s="3" t="str">
        <f t="shared" si="1"/>
        <v>Friday</v>
      </c>
      <c r="F9" s="3">
        <v>14.0</v>
      </c>
      <c r="G9" s="3">
        <v>175.0</v>
      </c>
      <c r="H9" s="3" t="s">
        <v>46</v>
      </c>
      <c r="I9" s="3" t="s">
        <v>47</v>
      </c>
      <c r="J9" s="3">
        <v>2.99</v>
      </c>
      <c r="K9" s="3">
        <v>21.17</v>
      </c>
      <c r="L9" s="3">
        <v>3.0</v>
      </c>
      <c r="M9" s="8">
        <v>1.0</v>
      </c>
    </row>
    <row r="10" ht="14.25" customHeight="1">
      <c r="A10" s="3" t="s">
        <v>70</v>
      </c>
      <c r="B10" s="3" t="s">
        <v>43</v>
      </c>
      <c r="C10" s="3" t="s">
        <v>71</v>
      </c>
      <c r="D10" s="3" t="s">
        <v>72</v>
      </c>
      <c r="E10" s="3" t="str">
        <f t="shared" si="1"/>
        <v>Thursday</v>
      </c>
      <c r="F10" s="3">
        <v>8.0</v>
      </c>
      <c r="G10" s="3">
        <v>171.0</v>
      </c>
      <c r="H10" s="3" t="s">
        <v>60</v>
      </c>
      <c r="I10" s="3" t="s">
        <v>56</v>
      </c>
      <c r="J10" s="3">
        <v>1.91</v>
      </c>
      <c r="K10" s="3">
        <v>11.7</v>
      </c>
      <c r="L10" s="3">
        <v>4.0</v>
      </c>
      <c r="M10" s="8">
        <v>1.0</v>
      </c>
    </row>
    <row r="11" ht="14.25" customHeight="1">
      <c r="A11" s="3" t="s">
        <v>73</v>
      </c>
      <c r="B11" s="3" t="s">
        <v>65</v>
      </c>
      <c r="C11" s="3" t="s">
        <v>44</v>
      </c>
      <c r="D11" s="3" t="s">
        <v>74</v>
      </c>
      <c r="E11" s="3" t="str">
        <f t="shared" si="1"/>
        <v>Monday</v>
      </c>
      <c r="F11" s="3">
        <v>9.0</v>
      </c>
      <c r="G11" s="3">
        <v>117.0</v>
      </c>
      <c r="H11" s="3" t="s">
        <v>60</v>
      </c>
      <c r="I11" s="3" t="s">
        <v>56</v>
      </c>
      <c r="J11" s="3">
        <v>2.04</v>
      </c>
      <c r="K11" s="3">
        <v>17.69</v>
      </c>
      <c r="L11" s="3">
        <v>3.0</v>
      </c>
      <c r="M11" s="8">
        <v>1.0</v>
      </c>
    </row>
    <row r="12" ht="14.25" customHeight="1">
      <c r="A12" s="3" t="s">
        <v>75</v>
      </c>
      <c r="B12" s="3" t="s">
        <v>49</v>
      </c>
      <c r="C12" s="3" t="s">
        <v>71</v>
      </c>
      <c r="D12" s="3" t="s">
        <v>76</v>
      </c>
      <c r="E12" s="3" t="str">
        <f t="shared" si="1"/>
        <v>Thursday</v>
      </c>
      <c r="F12" s="3">
        <v>5.0</v>
      </c>
      <c r="G12" s="3">
        <v>47.0</v>
      </c>
      <c r="H12" s="3" t="s">
        <v>60</v>
      </c>
      <c r="I12" s="3" t="s">
        <v>47</v>
      </c>
      <c r="J12" s="3">
        <v>1.24</v>
      </c>
      <c r="K12" s="3">
        <v>10.55</v>
      </c>
      <c r="L12" s="3">
        <v>5.0</v>
      </c>
      <c r="M12" s="8">
        <v>1.0</v>
      </c>
    </row>
    <row r="13" ht="14.25" customHeight="1">
      <c r="A13" s="3" t="s">
        <v>77</v>
      </c>
      <c r="B13" s="3" t="s">
        <v>43</v>
      </c>
      <c r="C13" s="3" t="s">
        <v>58</v>
      </c>
      <c r="D13" s="3" t="s">
        <v>78</v>
      </c>
      <c r="E13" s="3" t="str">
        <f t="shared" si="1"/>
        <v>Friday</v>
      </c>
      <c r="F13" s="3">
        <v>6.0</v>
      </c>
      <c r="G13" s="3">
        <v>144.0</v>
      </c>
      <c r="H13" s="3" t="s">
        <v>60</v>
      </c>
      <c r="I13" s="3" t="s">
        <v>56</v>
      </c>
      <c r="J13" s="3">
        <v>1.49</v>
      </c>
      <c r="K13" s="3">
        <v>14.34</v>
      </c>
      <c r="L13" s="3">
        <v>4.0</v>
      </c>
      <c r="M13" s="8">
        <v>1.0</v>
      </c>
    </row>
    <row r="14" ht="14.25" customHeight="1">
      <c r="A14" s="3" t="s">
        <v>79</v>
      </c>
      <c r="B14" s="3" t="s">
        <v>49</v>
      </c>
      <c r="C14" s="3" t="s">
        <v>44</v>
      </c>
      <c r="D14" s="3" t="s">
        <v>80</v>
      </c>
      <c r="E14" s="3" t="str">
        <f t="shared" si="1"/>
        <v>Monday</v>
      </c>
      <c r="F14" s="3">
        <v>8.0</v>
      </c>
      <c r="G14" s="3">
        <v>47.0</v>
      </c>
      <c r="H14" s="3" t="s">
        <v>60</v>
      </c>
      <c r="I14" s="3" t="s">
        <v>56</v>
      </c>
      <c r="J14" s="3">
        <v>1.93</v>
      </c>
      <c r="K14" s="3">
        <v>15.22</v>
      </c>
      <c r="L14" s="3">
        <v>4.0</v>
      </c>
      <c r="M14" s="8">
        <v>1.0</v>
      </c>
    </row>
    <row r="15" ht="14.25" customHeight="1">
      <c r="A15" s="3" t="s">
        <v>81</v>
      </c>
      <c r="B15" s="3" t="s">
        <v>49</v>
      </c>
      <c r="C15" s="3" t="s">
        <v>54</v>
      </c>
      <c r="D15" s="3" t="s">
        <v>82</v>
      </c>
      <c r="E15" s="3" t="str">
        <f t="shared" si="1"/>
        <v>Wednesday</v>
      </c>
      <c r="F15" s="3">
        <v>21.0</v>
      </c>
      <c r="G15" s="3">
        <v>175.0</v>
      </c>
      <c r="H15" s="3" t="s">
        <v>46</v>
      </c>
      <c r="I15" s="3" t="s">
        <v>47</v>
      </c>
      <c r="J15" s="3">
        <v>4.68</v>
      </c>
      <c r="K15" s="3">
        <v>15.91</v>
      </c>
      <c r="L15" s="3">
        <v>2.0</v>
      </c>
      <c r="M15" s="8">
        <v>1.0</v>
      </c>
    </row>
    <row r="16" ht="14.25" customHeight="1">
      <c r="A16" s="3" t="s">
        <v>83</v>
      </c>
      <c r="B16" s="3" t="s">
        <v>53</v>
      </c>
      <c r="C16" s="3" t="s">
        <v>54</v>
      </c>
      <c r="D16" s="3" t="s">
        <v>74</v>
      </c>
      <c r="E16" s="3" t="str">
        <f t="shared" si="1"/>
        <v>Wednesday</v>
      </c>
      <c r="F16" s="3">
        <v>18.0</v>
      </c>
      <c r="G16" s="3">
        <v>122.0</v>
      </c>
      <c r="H16" s="3" t="s">
        <v>60</v>
      </c>
      <c r="I16" s="3" t="s">
        <v>47</v>
      </c>
      <c r="J16" s="3">
        <v>3.97</v>
      </c>
      <c r="K16" s="3">
        <v>20.86</v>
      </c>
      <c r="L16" s="3">
        <v>5.0</v>
      </c>
      <c r="M16" s="8">
        <v>1.0</v>
      </c>
    </row>
    <row r="17" ht="14.25" customHeight="1">
      <c r="A17" s="3" t="s">
        <v>84</v>
      </c>
      <c r="B17" s="3" t="s">
        <v>49</v>
      </c>
      <c r="C17" s="3" t="s">
        <v>85</v>
      </c>
      <c r="D17" s="3" t="s">
        <v>86</v>
      </c>
      <c r="E17" s="3" t="str">
        <f t="shared" si="1"/>
        <v>Tuesday</v>
      </c>
      <c r="F17" s="3">
        <v>11.0</v>
      </c>
      <c r="G17" s="3">
        <v>60.0</v>
      </c>
      <c r="H17" s="3" t="s">
        <v>46</v>
      </c>
      <c r="I17" s="3" t="s">
        <v>56</v>
      </c>
      <c r="J17" s="3">
        <v>2.62</v>
      </c>
      <c r="K17" s="3">
        <v>18.25</v>
      </c>
      <c r="L17" s="3">
        <v>5.0</v>
      </c>
      <c r="M17" s="8">
        <v>1.0</v>
      </c>
    </row>
    <row r="18" ht="14.25" customHeight="1">
      <c r="A18" s="3" t="s">
        <v>87</v>
      </c>
      <c r="B18" s="3" t="s">
        <v>43</v>
      </c>
      <c r="C18" s="3" t="s">
        <v>62</v>
      </c>
      <c r="D18" s="3" t="s">
        <v>88</v>
      </c>
      <c r="E18" s="3" t="str">
        <f t="shared" si="1"/>
        <v>Sunday</v>
      </c>
      <c r="F18" s="3">
        <v>12.0</v>
      </c>
      <c r="G18" s="3">
        <v>162.0</v>
      </c>
      <c r="H18" s="3" t="s">
        <v>46</v>
      </c>
      <c r="I18" s="3" t="s">
        <v>56</v>
      </c>
      <c r="J18" s="3">
        <v>2.71</v>
      </c>
      <c r="K18" s="3">
        <v>11.91</v>
      </c>
      <c r="L18" s="3">
        <v>1.0</v>
      </c>
      <c r="M18" s="8">
        <v>1.0</v>
      </c>
    </row>
    <row r="19" ht="14.25" customHeight="1">
      <c r="A19" s="3" t="s">
        <v>89</v>
      </c>
      <c r="B19" s="3" t="s">
        <v>43</v>
      </c>
      <c r="C19" s="3" t="s">
        <v>44</v>
      </c>
      <c r="D19" s="3" t="s">
        <v>90</v>
      </c>
      <c r="E19" s="3" t="str">
        <f t="shared" si="1"/>
        <v>Monday</v>
      </c>
      <c r="F19" s="3">
        <v>24.0</v>
      </c>
      <c r="G19" s="3">
        <v>130.0</v>
      </c>
      <c r="H19" s="3" t="s">
        <v>60</v>
      </c>
      <c r="I19" s="3" t="s">
        <v>56</v>
      </c>
      <c r="J19" s="3">
        <v>5.17</v>
      </c>
      <c r="K19" s="3">
        <v>26.82</v>
      </c>
      <c r="L19" s="3">
        <v>5.0</v>
      </c>
      <c r="M19" s="8">
        <v>1.0</v>
      </c>
    </row>
    <row r="20" ht="14.25" customHeight="1">
      <c r="A20" s="3" t="s">
        <v>91</v>
      </c>
      <c r="B20" s="3" t="s">
        <v>43</v>
      </c>
      <c r="C20" s="3" t="s">
        <v>44</v>
      </c>
      <c r="D20" s="3" t="s">
        <v>92</v>
      </c>
      <c r="E20" s="3" t="str">
        <f t="shared" si="1"/>
        <v>Monday</v>
      </c>
      <c r="F20" s="3">
        <v>17.0</v>
      </c>
      <c r="G20" s="3">
        <v>147.0</v>
      </c>
      <c r="H20" s="3" t="s">
        <v>46</v>
      </c>
      <c r="I20" s="3" t="s">
        <v>47</v>
      </c>
      <c r="J20" s="3">
        <v>3.75</v>
      </c>
      <c r="K20" s="3">
        <v>15.11</v>
      </c>
      <c r="L20" s="3">
        <v>5.0</v>
      </c>
      <c r="M20" s="8">
        <v>1.0</v>
      </c>
    </row>
    <row r="21" ht="14.25" customHeight="1">
      <c r="A21" s="3" t="s">
        <v>93</v>
      </c>
      <c r="B21" s="3" t="s">
        <v>65</v>
      </c>
      <c r="C21" s="3" t="s">
        <v>62</v>
      </c>
      <c r="D21" s="3" t="s">
        <v>94</v>
      </c>
      <c r="E21" s="3" t="str">
        <f t="shared" si="1"/>
        <v>Sunday</v>
      </c>
      <c r="F21" s="3">
        <v>5.0</v>
      </c>
      <c r="G21" s="3">
        <v>85.0</v>
      </c>
      <c r="H21" s="3" t="s">
        <v>46</v>
      </c>
      <c r="I21" s="3" t="s">
        <v>47</v>
      </c>
      <c r="J21" s="3">
        <v>1.37</v>
      </c>
      <c r="K21" s="3">
        <v>8.71</v>
      </c>
      <c r="L21" s="3">
        <v>3.0</v>
      </c>
      <c r="M21" s="8">
        <v>1.0</v>
      </c>
    </row>
    <row r="22" ht="14.25" customHeight="1">
      <c r="A22" s="3" t="s">
        <v>95</v>
      </c>
      <c r="B22" s="3" t="s">
        <v>49</v>
      </c>
      <c r="C22" s="3" t="s">
        <v>62</v>
      </c>
      <c r="D22" s="3" t="s">
        <v>96</v>
      </c>
      <c r="E22" s="3" t="str">
        <f t="shared" si="1"/>
        <v>Sunday</v>
      </c>
      <c r="F22" s="3">
        <v>5.0</v>
      </c>
      <c r="G22" s="3">
        <v>99.0</v>
      </c>
      <c r="H22" s="3" t="s">
        <v>60</v>
      </c>
      <c r="I22" s="3" t="s">
        <v>56</v>
      </c>
      <c r="J22" s="3">
        <v>1.31</v>
      </c>
      <c r="K22" s="3">
        <v>16.32</v>
      </c>
      <c r="L22" s="3">
        <v>2.0</v>
      </c>
      <c r="M22" s="8">
        <v>1.0</v>
      </c>
    </row>
    <row r="23" ht="14.25" customHeight="1">
      <c r="A23" s="3" t="s">
        <v>97</v>
      </c>
      <c r="B23" s="3" t="s">
        <v>49</v>
      </c>
      <c r="C23" s="3" t="s">
        <v>71</v>
      </c>
      <c r="D23" s="3" t="s">
        <v>98</v>
      </c>
      <c r="E23" s="3" t="str">
        <f t="shared" si="1"/>
        <v>Thursday</v>
      </c>
      <c r="F23" s="3">
        <v>29.0</v>
      </c>
      <c r="G23" s="3">
        <v>148.0</v>
      </c>
      <c r="H23" s="3" t="s">
        <v>60</v>
      </c>
      <c r="I23" s="3" t="s">
        <v>47</v>
      </c>
      <c r="J23" s="3">
        <v>6.27</v>
      </c>
      <c r="K23" s="3">
        <v>19.55</v>
      </c>
      <c r="L23" s="3">
        <v>4.0</v>
      </c>
      <c r="M23" s="8">
        <v>1.0</v>
      </c>
    </row>
    <row r="24" ht="14.25" customHeight="1">
      <c r="A24" s="3" t="s">
        <v>99</v>
      </c>
      <c r="B24" s="3" t="s">
        <v>65</v>
      </c>
      <c r="C24" s="3" t="s">
        <v>54</v>
      </c>
      <c r="D24" s="3" t="s">
        <v>100</v>
      </c>
      <c r="E24" s="3" t="str">
        <f t="shared" si="1"/>
        <v>Wednesday</v>
      </c>
      <c r="F24" s="3">
        <v>25.0</v>
      </c>
      <c r="G24" s="3">
        <v>132.0</v>
      </c>
      <c r="H24" s="3" t="s">
        <v>60</v>
      </c>
      <c r="I24" s="3" t="s">
        <v>56</v>
      </c>
      <c r="J24" s="3">
        <v>5.33</v>
      </c>
      <c r="K24" s="3">
        <v>24.48</v>
      </c>
      <c r="L24" s="3">
        <v>2.0</v>
      </c>
      <c r="M24" s="8">
        <v>1.0</v>
      </c>
    </row>
    <row r="25" ht="14.25" customHeight="1">
      <c r="A25" s="3" t="s">
        <v>101</v>
      </c>
      <c r="B25" s="3" t="s">
        <v>53</v>
      </c>
      <c r="C25" s="3" t="s">
        <v>44</v>
      </c>
      <c r="D25" s="3" t="s">
        <v>102</v>
      </c>
      <c r="E25" s="3" t="str">
        <f t="shared" si="1"/>
        <v>Monday</v>
      </c>
      <c r="F25" s="3">
        <v>18.0</v>
      </c>
      <c r="G25" s="3">
        <v>40.0</v>
      </c>
      <c r="H25" s="3" t="s">
        <v>46</v>
      </c>
      <c r="I25" s="3" t="s">
        <v>47</v>
      </c>
      <c r="J25" s="3">
        <v>3.95</v>
      </c>
      <c r="K25" s="3">
        <v>14.79</v>
      </c>
      <c r="L25" s="3">
        <v>1.0</v>
      </c>
      <c r="M25" s="8">
        <v>1.0</v>
      </c>
    </row>
    <row r="26" ht="14.25" customHeight="1">
      <c r="A26" s="3" t="s">
        <v>103</v>
      </c>
      <c r="B26" s="3" t="s">
        <v>43</v>
      </c>
      <c r="C26" s="3" t="s">
        <v>44</v>
      </c>
      <c r="D26" s="3" t="s">
        <v>104</v>
      </c>
      <c r="E26" s="3" t="str">
        <f t="shared" si="1"/>
        <v>Monday</v>
      </c>
      <c r="F26" s="3">
        <v>23.0</v>
      </c>
      <c r="G26" s="3">
        <v>75.0</v>
      </c>
      <c r="H26" s="3" t="s">
        <v>46</v>
      </c>
      <c r="I26" s="3" t="s">
        <v>56</v>
      </c>
      <c r="J26" s="3">
        <v>5.07</v>
      </c>
      <c r="K26" s="3">
        <v>19.6</v>
      </c>
      <c r="L26" s="3">
        <v>4.0</v>
      </c>
      <c r="M26" s="8">
        <v>1.0</v>
      </c>
    </row>
    <row r="27" ht="14.25" customHeight="1">
      <c r="A27" s="3" t="s">
        <v>105</v>
      </c>
      <c r="B27" s="3" t="s">
        <v>43</v>
      </c>
      <c r="C27" s="3" t="s">
        <v>58</v>
      </c>
      <c r="D27" s="3" t="s">
        <v>106</v>
      </c>
      <c r="E27" s="3" t="str">
        <f t="shared" si="1"/>
        <v>Friday</v>
      </c>
      <c r="F27" s="3">
        <v>19.0</v>
      </c>
      <c r="G27" s="3">
        <v>105.0</v>
      </c>
      <c r="H27" s="3" t="s">
        <v>46</v>
      </c>
      <c r="I27" s="3" t="s">
        <v>56</v>
      </c>
      <c r="J27" s="3">
        <v>4.1</v>
      </c>
      <c r="K27" s="3">
        <v>24.1</v>
      </c>
      <c r="L27" s="3">
        <v>3.0</v>
      </c>
      <c r="M27" s="8">
        <v>1.0</v>
      </c>
    </row>
    <row r="28" ht="14.25" customHeight="1">
      <c r="A28" s="3" t="s">
        <v>107</v>
      </c>
      <c r="B28" s="3" t="s">
        <v>53</v>
      </c>
      <c r="C28" s="3" t="s">
        <v>71</v>
      </c>
      <c r="D28" s="3" t="s">
        <v>108</v>
      </c>
      <c r="E28" s="3" t="str">
        <f t="shared" si="1"/>
        <v>Thursday</v>
      </c>
      <c r="F28" s="3">
        <v>12.0</v>
      </c>
      <c r="G28" s="3">
        <v>30.0</v>
      </c>
      <c r="H28" s="3" t="s">
        <v>46</v>
      </c>
      <c r="I28" s="3" t="s">
        <v>47</v>
      </c>
      <c r="J28" s="3">
        <v>2.82</v>
      </c>
      <c r="K28" s="3">
        <v>17.92</v>
      </c>
      <c r="L28" s="3">
        <v>1.0</v>
      </c>
      <c r="M28" s="8">
        <v>1.0</v>
      </c>
    </row>
    <row r="29" ht="14.25" customHeight="1">
      <c r="A29" s="3" t="s">
        <v>109</v>
      </c>
      <c r="B29" s="3" t="s">
        <v>65</v>
      </c>
      <c r="C29" s="3" t="s">
        <v>71</v>
      </c>
      <c r="D29" s="3" t="s">
        <v>110</v>
      </c>
      <c r="E29" s="3" t="str">
        <f t="shared" si="1"/>
        <v>Thursday</v>
      </c>
      <c r="F29" s="3">
        <v>10.0</v>
      </c>
      <c r="G29" s="3">
        <v>128.0</v>
      </c>
      <c r="H29" s="3" t="s">
        <v>46</v>
      </c>
      <c r="I29" s="3" t="s">
        <v>56</v>
      </c>
      <c r="J29" s="3">
        <v>2.29</v>
      </c>
      <c r="K29" s="3">
        <v>17.05</v>
      </c>
      <c r="L29" s="3">
        <v>3.0</v>
      </c>
      <c r="M29" s="8">
        <v>1.0</v>
      </c>
    </row>
    <row r="30" ht="14.25" customHeight="1">
      <c r="A30" s="3" t="s">
        <v>111</v>
      </c>
      <c r="B30" s="3" t="s">
        <v>65</v>
      </c>
      <c r="C30" s="3" t="s">
        <v>62</v>
      </c>
      <c r="D30" s="3" t="s">
        <v>112</v>
      </c>
      <c r="E30" s="3" t="str">
        <f t="shared" si="1"/>
        <v>Sunday</v>
      </c>
      <c r="F30" s="3">
        <v>20.0</v>
      </c>
      <c r="G30" s="3">
        <v>164.0</v>
      </c>
      <c r="H30" s="3" t="s">
        <v>46</v>
      </c>
      <c r="I30" s="3" t="s">
        <v>56</v>
      </c>
      <c r="J30" s="3">
        <v>4.4</v>
      </c>
      <c r="K30" s="3">
        <v>17.43</v>
      </c>
      <c r="L30" s="3">
        <v>4.0</v>
      </c>
      <c r="M30" s="8">
        <v>1.0</v>
      </c>
    </row>
    <row r="31" ht="14.25" customHeight="1">
      <c r="A31" s="3" t="s">
        <v>113</v>
      </c>
      <c r="B31" s="3" t="s">
        <v>65</v>
      </c>
      <c r="C31" s="3" t="s">
        <v>54</v>
      </c>
      <c r="D31" s="3" t="s">
        <v>114</v>
      </c>
      <c r="E31" s="3" t="str">
        <f t="shared" si="1"/>
        <v>Wednesday</v>
      </c>
      <c r="F31" s="3">
        <v>22.0</v>
      </c>
      <c r="G31" s="3">
        <v>76.0</v>
      </c>
      <c r="H31" s="3" t="s">
        <v>46</v>
      </c>
      <c r="I31" s="3" t="s">
        <v>56</v>
      </c>
      <c r="J31" s="3">
        <v>4.66</v>
      </c>
      <c r="K31" s="3">
        <v>17.95</v>
      </c>
      <c r="L31" s="3">
        <v>4.0</v>
      </c>
      <c r="M31" s="8">
        <v>1.0</v>
      </c>
    </row>
    <row r="32" ht="14.25" customHeight="1">
      <c r="A32" s="3" t="s">
        <v>115</v>
      </c>
      <c r="B32" s="3" t="s">
        <v>49</v>
      </c>
      <c r="C32" s="3" t="s">
        <v>62</v>
      </c>
      <c r="D32" s="3" t="s">
        <v>116</v>
      </c>
      <c r="E32" s="3" t="str">
        <f t="shared" si="1"/>
        <v>Sunday</v>
      </c>
      <c r="F32" s="3">
        <v>29.0</v>
      </c>
      <c r="G32" s="3">
        <v>76.0</v>
      </c>
      <c r="H32" s="3" t="s">
        <v>60</v>
      </c>
      <c r="I32" s="3" t="s">
        <v>47</v>
      </c>
      <c r="J32" s="3">
        <v>5.93</v>
      </c>
      <c r="K32" s="3">
        <v>24.24</v>
      </c>
      <c r="L32" s="3">
        <v>4.0</v>
      </c>
      <c r="M32" s="8">
        <v>1.0</v>
      </c>
    </row>
    <row r="33" ht="14.25" customHeight="1">
      <c r="A33" s="3" t="s">
        <v>117</v>
      </c>
      <c r="B33" s="3" t="s">
        <v>53</v>
      </c>
      <c r="C33" s="3" t="s">
        <v>71</v>
      </c>
      <c r="D33" s="3" t="s">
        <v>118</v>
      </c>
      <c r="E33" s="3" t="str">
        <f t="shared" si="1"/>
        <v>Thursday</v>
      </c>
      <c r="F33" s="3">
        <v>24.0</v>
      </c>
      <c r="G33" s="3">
        <v>174.0</v>
      </c>
      <c r="H33" s="3" t="s">
        <v>60</v>
      </c>
      <c r="I33" s="3" t="s">
        <v>56</v>
      </c>
      <c r="J33" s="3">
        <v>4.93</v>
      </c>
      <c r="K33" s="3">
        <v>19.43</v>
      </c>
      <c r="L33" s="3">
        <v>1.0</v>
      </c>
      <c r="M33" s="8">
        <v>1.0</v>
      </c>
    </row>
    <row r="34" ht="14.25" customHeight="1">
      <c r="A34" s="3" t="s">
        <v>119</v>
      </c>
      <c r="B34" s="3" t="s">
        <v>43</v>
      </c>
      <c r="C34" s="3" t="s">
        <v>58</v>
      </c>
      <c r="D34" s="3" t="s">
        <v>120</v>
      </c>
      <c r="E34" s="3" t="str">
        <f t="shared" si="1"/>
        <v>Friday</v>
      </c>
      <c r="F34" s="3">
        <v>5.0</v>
      </c>
      <c r="G34" s="3">
        <v>127.0</v>
      </c>
      <c r="H34" s="3" t="s">
        <v>46</v>
      </c>
      <c r="I34" s="3" t="s">
        <v>56</v>
      </c>
      <c r="J34" s="3">
        <v>1.22</v>
      </c>
      <c r="K34" s="3">
        <v>16.12</v>
      </c>
      <c r="L34" s="3">
        <v>4.0</v>
      </c>
      <c r="M34" s="8">
        <v>1.0</v>
      </c>
    </row>
    <row r="35" ht="14.25" customHeight="1">
      <c r="A35" s="3" t="s">
        <v>121</v>
      </c>
      <c r="B35" s="3" t="s">
        <v>65</v>
      </c>
      <c r="C35" s="3" t="s">
        <v>54</v>
      </c>
      <c r="D35" s="3" t="s">
        <v>122</v>
      </c>
      <c r="E35" s="3" t="str">
        <f t="shared" si="1"/>
        <v>Wednesday</v>
      </c>
      <c r="F35" s="3">
        <v>9.0</v>
      </c>
      <c r="G35" s="3">
        <v>161.0</v>
      </c>
      <c r="H35" s="3" t="s">
        <v>46</v>
      </c>
      <c r="I35" s="3" t="s">
        <v>56</v>
      </c>
      <c r="J35" s="3">
        <v>2.21</v>
      </c>
      <c r="K35" s="3">
        <v>12.88</v>
      </c>
      <c r="L35" s="3">
        <v>1.0</v>
      </c>
      <c r="M35" s="8">
        <v>1.0</v>
      </c>
    </row>
    <row r="36" ht="14.25" customHeight="1">
      <c r="A36" s="3" t="s">
        <v>123</v>
      </c>
      <c r="B36" s="3" t="s">
        <v>65</v>
      </c>
      <c r="C36" s="3" t="s">
        <v>85</v>
      </c>
      <c r="D36" s="3" t="s">
        <v>124</v>
      </c>
      <c r="E36" s="3" t="str">
        <f t="shared" si="1"/>
        <v>Tuesday</v>
      </c>
      <c r="F36" s="3">
        <v>16.0</v>
      </c>
      <c r="G36" s="3">
        <v>168.0</v>
      </c>
      <c r="H36" s="3" t="s">
        <v>46</v>
      </c>
      <c r="I36" s="3" t="s">
        <v>47</v>
      </c>
      <c r="J36" s="3">
        <v>3.63</v>
      </c>
      <c r="K36" s="3">
        <v>13.84</v>
      </c>
      <c r="L36" s="3">
        <v>2.0</v>
      </c>
      <c r="M36" s="8">
        <v>1.0</v>
      </c>
    </row>
    <row r="37" ht="14.25" customHeight="1">
      <c r="A37" s="3" t="s">
        <v>125</v>
      </c>
      <c r="B37" s="3" t="s">
        <v>53</v>
      </c>
      <c r="C37" s="3" t="s">
        <v>44</v>
      </c>
      <c r="D37" s="3" t="s">
        <v>126</v>
      </c>
      <c r="E37" s="3" t="str">
        <f t="shared" si="1"/>
        <v>Monday</v>
      </c>
      <c r="F37" s="3">
        <v>4.0</v>
      </c>
      <c r="G37" s="3">
        <v>114.0</v>
      </c>
      <c r="H37" s="3" t="s">
        <v>46</v>
      </c>
      <c r="I37" s="3" t="s">
        <v>47</v>
      </c>
      <c r="J37" s="3">
        <v>1.09</v>
      </c>
      <c r="K37" s="3">
        <v>15.93</v>
      </c>
      <c r="L37" s="3">
        <v>1.0</v>
      </c>
      <c r="M37" s="8">
        <v>1.0</v>
      </c>
    </row>
    <row r="38" ht="14.25" customHeight="1">
      <c r="A38" s="3" t="s">
        <v>127</v>
      </c>
      <c r="B38" s="3" t="s">
        <v>65</v>
      </c>
      <c r="C38" s="3" t="s">
        <v>50</v>
      </c>
      <c r="D38" s="3" t="s">
        <v>128</v>
      </c>
      <c r="E38" s="3" t="str">
        <f t="shared" si="1"/>
        <v>Saturday</v>
      </c>
      <c r="F38" s="3">
        <v>30.0</v>
      </c>
      <c r="G38" s="3">
        <v>174.0</v>
      </c>
      <c r="H38" s="3" t="s">
        <v>46</v>
      </c>
      <c r="I38" s="3" t="s">
        <v>47</v>
      </c>
      <c r="J38" s="3">
        <v>6.28</v>
      </c>
      <c r="K38" s="3">
        <v>27.61</v>
      </c>
      <c r="L38" s="3">
        <v>1.0</v>
      </c>
      <c r="M38" s="8">
        <v>1.0</v>
      </c>
    </row>
    <row r="39" ht="14.25" customHeight="1">
      <c r="A39" s="3" t="s">
        <v>129</v>
      </c>
      <c r="B39" s="3" t="s">
        <v>65</v>
      </c>
      <c r="C39" s="3" t="s">
        <v>50</v>
      </c>
      <c r="D39" s="3" t="s">
        <v>130</v>
      </c>
      <c r="E39" s="3" t="str">
        <f t="shared" si="1"/>
        <v>Saturday</v>
      </c>
      <c r="F39" s="3">
        <v>18.0</v>
      </c>
      <c r="G39" s="3">
        <v>117.0</v>
      </c>
      <c r="H39" s="3" t="s">
        <v>60</v>
      </c>
      <c r="I39" s="3" t="s">
        <v>56</v>
      </c>
      <c r="J39" s="3">
        <v>3.88</v>
      </c>
      <c r="K39" s="3">
        <v>20.76</v>
      </c>
      <c r="L39" s="3">
        <v>2.0</v>
      </c>
      <c r="M39" s="8">
        <v>1.0</v>
      </c>
    </row>
    <row r="40" ht="14.25" customHeight="1">
      <c r="A40" s="3" t="s">
        <v>131</v>
      </c>
      <c r="B40" s="3" t="s">
        <v>49</v>
      </c>
      <c r="C40" s="3" t="s">
        <v>71</v>
      </c>
      <c r="D40" s="3" t="s">
        <v>132</v>
      </c>
      <c r="E40" s="3" t="str">
        <f t="shared" si="1"/>
        <v>Thursday</v>
      </c>
      <c r="F40" s="3">
        <v>19.0</v>
      </c>
      <c r="G40" s="3">
        <v>67.0</v>
      </c>
      <c r="H40" s="3" t="s">
        <v>60</v>
      </c>
      <c r="I40" s="3" t="s">
        <v>56</v>
      </c>
      <c r="J40" s="3">
        <v>4.12</v>
      </c>
      <c r="K40" s="3">
        <v>22.09</v>
      </c>
      <c r="L40" s="3">
        <v>5.0</v>
      </c>
      <c r="M40" s="8">
        <v>1.0</v>
      </c>
    </row>
    <row r="41" ht="14.25" customHeight="1">
      <c r="A41" s="3" t="s">
        <v>133</v>
      </c>
      <c r="B41" s="3" t="s">
        <v>53</v>
      </c>
      <c r="C41" s="3" t="s">
        <v>54</v>
      </c>
      <c r="D41" s="3" t="s">
        <v>134</v>
      </c>
      <c r="E41" s="3" t="str">
        <f t="shared" si="1"/>
        <v>Wednesday</v>
      </c>
      <c r="F41" s="3">
        <v>17.0</v>
      </c>
      <c r="G41" s="3">
        <v>81.0</v>
      </c>
      <c r="H41" s="3" t="s">
        <v>46</v>
      </c>
      <c r="I41" s="3" t="s">
        <v>47</v>
      </c>
      <c r="J41" s="3">
        <v>3.7</v>
      </c>
      <c r="K41" s="3">
        <v>18.42</v>
      </c>
      <c r="L41" s="3">
        <v>4.0</v>
      </c>
      <c r="M41" s="8">
        <v>1.0</v>
      </c>
    </row>
    <row r="42" ht="14.25" customHeight="1">
      <c r="A42" s="3" t="s">
        <v>135</v>
      </c>
      <c r="B42" s="3" t="s">
        <v>49</v>
      </c>
      <c r="C42" s="3" t="s">
        <v>58</v>
      </c>
      <c r="D42" s="3" t="s">
        <v>136</v>
      </c>
      <c r="E42" s="3" t="str">
        <f t="shared" si="1"/>
        <v>Friday</v>
      </c>
      <c r="F42" s="3">
        <v>10.0</v>
      </c>
      <c r="G42" s="3">
        <v>47.0</v>
      </c>
      <c r="H42" s="3" t="s">
        <v>46</v>
      </c>
      <c r="I42" s="3" t="s">
        <v>47</v>
      </c>
      <c r="J42" s="3">
        <v>2.21</v>
      </c>
      <c r="K42" s="3">
        <v>11.3</v>
      </c>
      <c r="L42" s="3">
        <v>1.0</v>
      </c>
      <c r="M42" s="8">
        <v>1.0</v>
      </c>
    </row>
    <row r="43" ht="14.25" customHeight="1">
      <c r="A43" s="3" t="s">
        <v>137</v>
      </c>
      <c r="B43" s="3" t="s">
        <v>43</v>
      </c>
      <c r="C43" s="3" t="s">
        <v>44</v>
      </c>
      <c r="D43" s="3" t="s">
        <v>138</v>
      </c>
      <c r="E43" s="3" t="str">
        <f t="shared" si="1"/>
        <v>Monday</v>
      </c>
      <c r="F43" s="3">
        <v>16.0</v>
      </c>
      <c r="G43" s="3">
        <v>98.0</v>
      </c>
      <c r="H43" s="3" t="s">
        <v>60</v>
      </c>
      <c r="I43" s="3" t="s">
        <v>56</v>
      </c>
      <c r="J43" s="3">
        <v>3.45</v>
      </c>
      <c r="K43" s="3">
        <v>17.65</v>
      </c>
      <c r="L43" s="3">
        <v>4.0</v>
      </c>
      <c r="M43" s="8">
        <v>1.0</v>
      </c>
    </row>
    <row r="44" ht="14.25" customHeight="1">
      <c r="A44" s="3" t="s">
        <v>139</v>
      </c>
      <c r="B44" s="3" t="s">
        <v>43</v>
      </c>
      <c r="C44" s="3" t="s">
        <v>85</v>
      </c>
      <c r="D44" s="3" t="s">
        <v>140</v>
      </c>
      <c r="E44" s="3" t="str">
        <f t="shared" si="1"/>
        <v>Tuesday</v>
      </c>
      <c r="F44" s="3">
        <v>11.0</v>
      </c>
      <c r="G44" s="3">
        <v>69.0</v>
      </c>
      <c r="H44" s="3" t="s">
        <v>60</v>
      </c>
      <c r="I44" s="3" t="s">
        <v>56</v>
      </c>
      <c r="J44" s="3">
        <v>2.54</v>
      </c>
      <c r="K44" s="3">
        <v>16.67</v>
      </c>
      <c r="L44" s="3">
        <v>3.0</v>
      </c>
      <c r="M44" s="8">
        <v>1.0</v>
      </c>
    </row>
    <row r="45" ht="14.25" customHeight="1">
      <c r="A45" s="3" t="s">
        <v>141</v>
      </c>
      <c r="B45" s="3" t="s">
        <v>65</v>
      </c>
      <c r="C45" s="3" t="s">
        <v>71</v>
      </c>
      <c r="D45" s="3" t="s">
        <v>142</v>
      </c>
      <c r="E45" s="3" t="str">
        <f t="shared" si="1"/>
        <v>Thursday</v>
      </c>
      <c r="F45" s="3">
        <v>20.0</v>
      </c>
      <c r="G45" s="3">
        <v>81.0</v>
      </c>
      <c r="H45" s="3" t="s">
        <v>46</v>
      </c>
      <c r="I45" s="3" t="s">
        <v>47</v>
      </c>
      <c r="J45" s="3">
        <v>4.18</v>
      </c>
      <c r="K45" s="3">
        <v>24.56</v>
      </c>
      <c r="L45" s="3">
        <v>3.0</v>
      </c>
      <c r="M45" s="8">
        <v>1.0</v>
      </c>
    </row>
    <row r="46" ht="14.25" customHeight="1">
      <c r="A46" s="3" t="s">
        <v>143</v>
      </c>
      <c r="B46" s="3" t="s">
        <v>49</v>
      </c>
      <c r="C46" s="3" t="s">
        <v>58</v>
      </c>
      <c r="D46" s="3" t="s">
        <v>144</v>
      </c>
      <c r="E46" s="3" t="str">
        <f t="shared" si="1"/>
        <v>Friday</v>
      </c>
      <c r="F46" s="3">
        <v>14.0</v>
      </c>
      <c r="G46" s="3">
        <v>31.0</v>
      </c>
      <c r="H46" s="3" t="s">
        <v>46</v>
      </c>
      <c r="I46" s="3" t="s">
        <v>56</v>
      </c>
      <c r="J46" s="3">
        <v>2.99</v>
      </c>
      <c r="K46" s="3">
        <v>14.68</v>
      </c>
      <c r="L46" s="3">
        <v>2.0</v>
      </c>
      <c r="M46" s="8">
        <v>1.0</v>
      </c>
    </row>
    <row r="47" ht="14.25" customHeight="1">
      <c r="A47" s="3" t="s">
        <v>145</v>
      </c>
      <c r="B47" s="3" t="s">
        <v>49</v>
      </c>
      <c r="C47" s="3" t="s">
        <v>85</v>
      </c>
      <c r="D47" s="3" t="s">
        <v>146</v>
      </c>
      <c r="E47" s="3" t="str">
        <f t="shared" si="1"/>
        <v>Tuesday</v>
      </c>
      <c r="F47" s="3">
        <v>20.0</v>
      </c>
      <c r="G47" s="3">
        <v>165.0</v>
      </c>
      <c r="H47" s="3" t="s">
        <v>46</v>
      </c>
      <c r="I47" s="3" t="s">
        <v>56</v>
      </c>
      <c r="J47" s="3">
        <v>4.21</v>
      </c>
      <c r="K47" s="3">
        <v>16.75</v>
      </c>
      <c r="L47" s="3">
        <v>3.0</v>
      </c>
      <c r="M47" s="8">
        <v>1.0</v>
      </c>
    </row>
    <row r="48" ht="14.25" customHeight="1">
      <c r="A48" s="3" t="s">
        <v>147</v>
      </c>
      <c r="B48" s="3" t="s">
        <v>43</v>
      </c>
      <c r="C48" s="3" t="s">
        <v>50</v>
      </c>
      <c r="D48" s="3" t="s">
        <v>148</v>
      </c>
      <c r="E48" s="3" t="str">
        <f t="shared" si="1"/>
        <v>Saturday</v>
      </c>
      <c r="F48" s="3">
        <v>16.0</v>
      </c>
      <c r="G48" s="3">
        <v>147.0</v>
      </c>
      <c r="H48" s="3" t="s">
        <v>60</v>
      </c>
      <c r="I48" s="3" t="s">
        <v>47</v>
      </c>
      <c r="J48" s="3">
        <v>3.68</v>
      </c>
      <c r="K48" s="3">
        <v>19.41</v>
      </c>
      <c r="L48" s="3">
        <v>4.0</v>
      </c>
      <c r="M48" s="8">
        <v>1.0</v>
      </c>
    </row>
    <row r="49" ht="14.25" customHeight="1">
      <c r="A49" s="3" t="s">
        <v>149</v>
      </c>
      <c r="B49" s="3" t="s">
        <v>65</v>
      </c>
      <c r="C49" s="3" t="s">
        <v>58</v>
      </c>
      <c r="D49" s="3" t="s">
        <v>130</v>
      </c>
      <c r="E49" s="3" t="str">
        <f t="shared" si="1"/>
        <v>Friday</v>
      </c>
      <c r="F49" s="3">
        <v>13.0</v>
      </c>
      <c r="G49" s="3">
        <v>31.0</v>
      </c>
      <c r="H49" s="3" t="s">
        <v>60</v>
      </c>
      <c r="I49" s="3" t="s">
        <v>47</v>
      </c>
      <c r="J49" s="3">
        <v>2.73</v>
      </c>
      <c r="K49" s="3">
        <v>16.39</v>
      </c>
      <c r="L49" s="3">
        <v>4.0</v>
      </c>
      <c r="M49" s="8">
        <v>1.0</v>
      </c>
    </row>
    <row r="50" ht="14.25" customHeight="1">
      <c r="A50" s="3" t="s">
        <v>150</v>
      </c>
      <c r="B50" s="3" t="s">
        <v>49</v>
      </c>
      <c r="C50" s="3" t="s">
        <v>58</v>
      </c>
      <c r="D50" s="3" t="s">
        <v>151</v>
      </c>
      <c r="E50" s="3" t="str">
        <f t="shared" si="1"/>
        <v>Friday</v>
      </c>
      <c r="F50" s="3">
        <v>13.0</v>
      </c>
      <c r="G50" s="3">
        <v>42.0</v>
      </c>
      <c r="H50" s="3" t="s">
        <v>60</v>
      </c>
      <c r="I50" s="3" t="s">
        <v>56</v>
      </c>
      <c r="J50" s="3">
        <v>2.87</v>
      </c>
      <c r="K50" s="3">
        <v>17.99</v>
      </c>
      <c r="L50" s="3">
        <v>3.0</v>
      </c>
      <c r="M50" s="8">
        <v>1.0</v>
      </c>
    </row>
    <row r="51" ht="14.25" customHeight="1">
      <c r="A51" s="3" t="s">
        <v>152</v>
      </c>
      <c r="B51" s="3" t="s">
        <v>43</v>
      </c>
      <c r="C51" s="3" t="s">
        <v>54</v>
      </c>
      <c r="D51" s="3" t="s">
        <v>153</v>
      </c>
      <c r="E51" s="3" t="str">
        <f t="shared" si="1"/>
        <v>Wednesday</v>
      </c>
      <c r="F51" s="3">
        <v>20.0</v>
      </c>
      <c r="G51" s="3">
        <v>149.0</v>
      </c>
      <c r="H51" s="3" t="s">
        <v>46</v>
      </c>
      <c r="I51" s="3" t="s">
        <v>56</v>
      </c>
      <c r="J51" s="3">
        <v>4.15</v>
      </c>
      <c r="K51" s="3">
        <v>17.59</v>
      </c>
      <c r="L51" s="3">
        <v>1.0</v>
      </c>
      <c r="M51" s="8">
        <v>1.0</v>
      </c>
    </row>
    <row r="52" ht="14.25" customHeight="1">
      <c r="A52" s="3" t="s">
        <v>154</v>
      </c>
      <c r="B52" s="3" t="s">
        <v>65</v>
      </c>
      <c r="C52" s="3" t="s">
        <v>44</v>
      </c>
      <c r="D52" s="3" t="s">
        <v>155</v>
      </c>
      <c r="E52" s="3" t="str">
        <f t="shared" si="1"/>
        <v>Monday</v>
      </c>
      <c r="F52" s="3">
        <v>17.0</v>
      </c>
      <c r="G52" s="3">
        <v>109.0</v>
      </c>
      <c r="H52" s="3" t="s">
        <v>46</v>
      </c>
      <c r="I52" s="3" t="s">
        <v>56</v>
      </c>
      <c r="J52" s="3">
        <v>3.73</v>
      </c>
      <c r="K52" s="3">
        <v>22.41</v>
      </c>
      <c r="L52" s="3">
        <v>1.0</v>
      </c>
      <c r="M52" s="8">
        <v>1.0</v>
      </c>
    </row>
    <row r="53" ht="14.25" customHeight="1">
      <c r="A53" s="3" t="s">
        <v>156</v>
      </c>
      <c r="B53" s="3" t="s">
        <v>53</v>
      </c>
      <c r="C53" s="3" t="s">
        <v>58</v>
      </c>
      <c r="D53" s="3" t="s">
        <v>100</v>
      </c>
      <c r="E53" s="3" t="str">
        <f t="shared" si="1"/>
        <v>Friday</v>
      </c>
      <c r="F53" s="3">
        <v>15.0</v>
      </c>
      <c r="G53" s="3">
        <v>147.0</v>
      </c>
      <c r="H53" s="3" t="s">
        <v>60</v>
      </c>
      <c r="I53" s="3" t="s">
        <v>47</v>
      </c>
      <c r="J53" s="3">
        <v>3.33</v>
      </c>
      <c r="K53" s="3">
        <v>16.17</v>
      </c>
      <c r="L53" s="3">
        <v>2.0</v>
      </c>
      <c r="M53" s="8">
        <v>1.0</v>
      </c>
    </row>
    <row r="54" ht="14.25" customHeight="1">
      <c r="A54" s="3" t="s">
        <v>157</v>
      </c>
      <c r="B54" s="3" t="s">
        <v>43</v>
      </c>
      <c r="C54" s="3" t="s">
        <v>50</v>
      </c>
      <c r="D54" s="3" t="s">
        <v>158</v>
      </c>
      <c r="E54" s="3" t="str">
        <f t="shared" si="1"/>
        <v>Saturday</v>
      </c>
      <c r="F54" s="3">
        <v>30.0</v>
      </c>
      <c r="G54" s="3">
        <v>130.0</v>
      </c>
      <c r="H54" s="3" t="s">
        <v>60</v>
      </c>
      <c r="I54" s="3" t="s">
        <v>56</v>
      </c>
      <c r="J54" s="3">
        <v>6.22</v>
      </c>
      <c r="K54" s="3">
        <v>20.23</v>
      </c>
      <c r="L54" s="3">
        <v>2.0</v>
      </c>
      <c r="M54" s="8">
        <v>1.0</v>
      </c>
    </row>
    <row r="55" ht="14.25" customHeight="1">
      <c r="A55" s="3" t="s">
        <v>159</v>
      </c>
      <c r="B55" s="3" t="s">
        <v>65</v>
      </c>
      <c r="C55" s="3" t="s">
        <v>58</v>
      </c>
      <c r="D55" s="3" t="s">
        <v>160</v>
      </c>
      <c r="E55" s="3" t="str">
        <f t="shared" si="1"/>
        <v>Friday</v>
      </c>
      <c r="F55" s="3">
        <v>7.0</v>
      </c>
      <c r="G55" s="3">
        <v>41.0</v>
      </c>
      <c r="H55" s="3" t="s">
        <v>46</v>
      </c>
      <c r="I55" s="3" t="s">
        <v>47</v>
      </c>
      <c r="J55" s="3">
        <v>1.68</v>
      </c>
      <c r="K55" s="3">
        <v>8.91</v>
      </c>
      <c r="L55" s="3">
        <v>3.0</v>
      </c>
      <c r="M55" s="8">
        <v>1.0</v>
      </c>
    </row>
    <row r="56" ht="14.25" customHeight="1">
      <c r="A56" s="3" t="s">
        <v>161</v>
      </c>
      <c r="B56" s="3" t="s">
        <v>49</v>
      </c>
      <c r="C56" s="3" t="s">
        <v>44</v>
      </c>
      <c r="D56" s="3" t="s">
        <v>162</v>
      </c>
      <c r="E56" s="3" t="str">
        <f t="shared" si="1"/>
        <v>Monday</v>
      </c>
      <c r="F56" s="3">
        <v>14.0</v>
      </c>
      <c r="G56" s="3">
        <v>62.0</v>
      </c>
      <c r="H56" s="3" t="s">
        <v>60</v>
      </c>
      <c r="I56" s="3" t="s">
        <v>47</v>
      </c>
      <c r="J56" s="3">
        <v>3.07</v>
      </c>
      <c r="K56" s="3">
        <v>12.25</v>
      </c>
      <c r="L56" s="3">
        <v>1.0</v>
      </c>
      <c r="M56" s="8">
        <v>1.0</v>
      </c>
    </row>
    <row r="57" ht="14.25" customHeight="1">
      <c r="A57" s="3" t="s">
        <v>163</v>
      </c>
      <c r="B57" s="3" t="s">
        <v>43</v>
      </c>
      <c r="C57" s="3" t="s">
        <v>50</v>
      </c>
      <c r="D57" s="3" t="s">
        <v>164</v>
      </c>
      <c r="E57" s="3" t="str">
        <f t="shared" si="1"/>
        <v>Saturday</v>
      </c>
      <c r="F57" s="3">
        <v>28.0</v>
      </c>
      <c r="G57" s="3">
        <v>80.0</v>
      </c>
      <c r="H57" s="3" t="s">
        <v>46</v>
      </c>
      <c r="I57" s="3" t="s">
        <v>47</v>
      </c>
      <c r="J57" s="3">
        <v>6.1</v>
      </c>
      <c r="K57" s="3">
        <v>19.57</v>
      </c>
      <c r="L57" s="3">
        <v>5.0</v>
      </c>
      <c r="M57" s="8">
        <v>1.0</v>
      </c>
    </row>
    <row r="58" ht="14.25" customHeight="1">
      <c r="A58" s="3" t="s">
        <v>165</v>
      </c>
      <c r="B58" s="3" t="s">
        <v>65</v>
      </c>
      <c r="C58" s="3" t="s">
        <v>71</v>
      </c>
      <c r="D58" s="3" t="s">
        <v>166</v>
      </c>
      <c r="E58" s="3" t="str">
        <f t="shared" si="1"/>
        <v>Thursday</v>
      </c>
      <c r="F58" s="3">
        <v>28.0</v>
      </c>
      <c r="G58" s="3">
        <v>32.0</v>
      </c>
      <c r="H58" s="3" t="s">
        <v>46</v>
      </c>
      <c r="I58" s="3" t="s">
        <v>47</v>
      </c>
      <c r="J58" s="3">
        <v>5.72</v>
      </c>
      <c r="K58" s="3">
        <v>21.73</v>
      </c>
      <c r="L58" s="3">
        <v>3.0</v>
      </c>
      <c r="M58" s="8">
        <v>1.0</v>
      </c>
    </row>
    <row r="59" ht="14.25" customHeight="1">
      <c r="A59" s="3" t="s">
        <v>167</v>
      </c>
      <c r="B59" s="3" t="s">
        <v>43</v>
      </c>
      <c r="C59" s="3" t="s">
        <v>50</v>
      </c>
      <c r="D59" s="3" t="s">
        <v>168</v>
      </c>
      <c r="E59" s="3" t="str">
        <f t="shared" si="1"/>
        <v>Saturday</v>
      </c>
      <c r="F59" s="3">
        <v>10.0</v>
      </c>
      <c r="G59" s="3">
        <v>105.0</v>
      </c>
      <c r="H59" s="3" t="s">
        <v>60</v>
      </c>
      <c r="I59" s="3" t="s">
        <v>47</v>
      </c>
      <c r="J59" s="3">
        <v>2.13</v>
      </c>
      <c r="K59" s="3">
        <v>18.24</v>
      </c>
      <c r="L59" s="3">
        <v>4.0</v>
      </c>
      <c r="M59" s="8">
        <v>1.0</v>
      </c>
    </row>
    <row r="60" ht="14.25" customHeight="1">
      <c r="A60" s="3" t="s">
        <v>169</v>
      </c>
      <c r="B60" s="3" t="s">
        <v>65</v>
      </c>
      <c r="C60" s="3" t="s">
        <v>71</v>
      </c>
      <c r="D60" s="3" t="s">
        <v>170</v>
      </c>
      <c r="E60" s="3" t="str">
        <f t="shared" si="1"/>
        <v>Thursday</v>
      </c>
      <c r="F60" s="3">
        <v>28.0</v>
      </c>
      <c r="G60" s="3">
        <v>31.0</v>
      </c>
      <c r="H60" s="3" t="s">
        <v>46</v>
      </c>
      <c r="I60" s="3" t="s">
        <v>47</v>
      </c>
      <c r="J60" s="3">
        <v>5.96</v>
      </c>
      <c r="K60" s="3">
        <v>22.87</v>
      </c>
      <c r="L60" s="3">
        <v>4.0</v>
      </c>
      <c r="M60" s="8">
        <v>1.0</v>
      </c>
    </row>
    <row r="61" ht="14.25" customHeight="1">
      <c r="A61" s="3" t="s">
        <v>171</v>
      </c>
      <c r="B61" s="3" t="s">
        <v>49</v>
      </c>
      <c r="C61" s="3" t="s">
        <v>50</v>
      </c>
      <c r="D61" s="3" t="s">
        <v>172</v>
      </c>
      <c r="E61" s="3" t="str">
        <f t="shared" si="1"/>
        <v>Saturday</v>
      </c>
      <c r="F61" s="3">
        <v>14.0</v>
      </c>
      <c r="G61" s="3">
        <v>137.0</v>
      </c>
      <c r="H61" s="3" t="s">
        <v>46</v>
      </c>
      <c r="I61" s="3" t="s">
        <v>56</v>
      </c>
      <c r="J61" s="3">
        <v>2.92</v>
      </c>
      <c r="K61" s="3">
        <v>21.06</v>
      </c>
      <c r="L61" s="3">
        <v>3.0</v>
      </c>
      <c r="M61" s="8">
        <v>1.0</v>
      </c>
    </row>
    <row r="62" ht="14.25" customHeight="1">
      <c r="A62" s="3" t="s">
        <v>173</v>
      </c>
      <c r="B62" s="3" t="s">
        <v>49</v>
      </c>
      <c r="C62" s="3" t="s">
        <v>62</v>
      </c>
      <c r="D62" s="3" t="s">
        <v>174</v>
      </c>
      <c r="E62" s="3" t="str">
        <f t="shared" si="1"/>
        <v>Sunday</v>
      </c>
      <c r="F62" s="3">
        <v>4.0</v>
      </c>
      <c r="G62" s="3">
        <v>119.0</v>
      </c>
      <c r="H62" s="3" t="s">
        <v>46</v>
      </c>
      <c r="I62" s="3" t="s">
        <v>56</v>
      </c>
      <c r="J62" s="3">
        <v>1.25</v>
      </c>
      <c r="K62" s="3">
        <v>16.61</v>
      </c>
      <c r="L62" s="3">
        <v>1.0</v>
      </c>
      <c r="M62" s="8">
        <v>1.0</v>
      </c>
    </row>
    <row r="63" ht="14.25" customHeight="1">
      <c r="A63" s="3" t="s">
        <v>175</v>
      </c>
      <c r="B63" s="3" t="s">
        <v>49</v>
      </c>
      <c r="C63" s="3" t="s">
        <v>71</v>
      </c>
      <c r="D63" s="3" t="s">
        <v>176</v>
      </c>
      <c r="E63" s="3" t="str">
        <f t="shared" si="1"/>
        <v>Thursday</v>
      </c>
      <c r="F63" s="3">
        <v>12.0</v>
      </c>
      <c r="G63" s="3">
        <v>86.0</v>
      </c>
      <c r="H63" s="3" t="s">
        <v>46</v>
      </c>
      <c r="I63" s="3" t="s">
        <v>47</v>
      </c>
      <c r="J63" s="3">
        <v>2.53</v>
      </c>
      <c r="K63" s="3">
        <v>15.09</v>
      </c>
      <c r="L63" s="3">
        <v>1.0</v>
      </c>
      <c r="M63" s="8">
        <v>1.0</v>
      </c>
    </row>
    <row r="64" ht="14.25" customHeight="1">
      <c r="A64" s="3" t="s">
        <v>177</v>
      </c>
      <c r="B64" s="3" t="s">
        <v>65</v>
      </c>
      <c r="C64" s="3" t="s">
        <v>85</v>
      </c>
      <c r="D64" s="3" t="s">
        <v>178</v>
      </c>
      <c r="E64" s="3" t="str">
        <f t="shared" si="1"/>
        <v>Tuesday</v>
      </c>
      <c r="F64" s="3">
        <v>19.0</v>
      </c>
      <c r="G64" s="3">
        <v>85.0</v>
      </c>
      <c r="H64" s="3" t="s">
        <v>46</v>
      </c>
      <c r="I64" s="3" t="s">
        <v>56</v>
      </c>
      <c r="J64" s="3">
        <v>4.02</v>
      </c>
      <c r="K64" s="3">
        <v>21.55</v>
      </c>
      <c r="L64" s="3">
        <v>2.0</v>
      </c>
      <c r="M64" s="8">
        <v>1.0</v>
      </c>
    </row>
    <row r="65" ht="14.25" customHeight="1">
      <c r="A65" s="3" t="s">
        <v>179</v>
      </c>
      <c r="B65" s="3" t="s">
        <v>53</v>
      </c>
      <c r="C65" s="3" t="s">
        <v>44</v>
      </c>
      <c r="D65" s="3" t="s">
        <v>180</v>
      </c>
      <c r="E65" s="3" t="str">
        <f t="shared" si="1"/>
        <v>Monday</v>
      </c>
      <c r="F65" s="3">
        <v>21.0</v>
      </c>
      <c r="G65" s="3">
        <v>106.0</v>
      </c>
      <c r="H65" s="3" t="s">
        <v>46</v>
      </c>
      <c r="I65" s="3" t="s">
        <v>47</v>
      </c>
      <c r="J65" s="3">
        <v>4.5</v>
      </c>
      <c r="K65" s="3">
        <v>15.78</v>
      </c>
      <c r="L65" s="3">
        <v>3.0</v>
      </c>
      <c r="M65" s="8">
        <v>1.0</v>
      </c>
    </row>
    <row r="66" ht="14.25" customHeight="1">
      <c r="A66" s="3" t="s">
        <v>181</v>
      </c>
      <c r="B66" s="3" t="s">
        <v>49</v>
      </c>
      <c r="C66" s="3" t="s">
        <v>44</v>
      </c>
      <c r="D66" s="3" t="s">
        <v>182</v>
      </c>
      <c r="E66" s="3" t="str">
        <f t="shared" si="1"/>
        <v>Monday</v>
      </c>
      <c r="F66" s="3">
        <v>19.0</v>
      </c>
      <c r="G66" s="3">
        <v>153.0</v>
      </c>
      <c r="H66" s="3" t="s">
        <v>60</v>
      </c>
      <c r="I66" s="3" t="s">
        <v>47</v>
      </c>
      <c r="J66" s="3">
        <v>3.91</v>
      </c>
      <c r="K66" s="3">
        <v>19.71</v>
      </c>
      <c r="L66" s="3">
        <v>1.0</v>
      </c>
      <c r="M66" s="8">
        <v>1.0</v>
      </c>
    </row>
    <row r="67" ht="14.25" customHeight="1">
      <c r="A67" s="3" t="s">
        <v>183</v>
      </c>
      <c r="B67" s="3" t="s">
        <v>43</v>
      </c>
      <c r="C67" s="3" t="s">
        <v>44</v>
      </c>
      <c r="D67" s="3" t="s">
        <v>184</v>
      </c>
      <c r="E67" s="3" t="str">
        <f t="shared" si="1"/>
        <v>Monday</v>
      </c>
      <c r="F67" s="3">
        <v>3.0</v>
      </c>
      <c r="G67" s="3">
        <v>73.0</v>
      </c>
      <c r="H67" s="3" t="s">
        <v>60</v>
      </c>
      <c r="I67" s="3" t="s">
        <v>56</v>
      </c>
      <c r="J67" s="3">
        <v>1.1</v>
      </c>
      <c r="K67" s="3">
        <v>15.55</v>
      </c>
      <c r="L67" s="3">
        <v>3.0</v>
      </c>
      <c r="M67" s="8">
        <v>1.0</v>
      </c>
    </row>
    <row r="68" ht="14.25" customHeight="1">
      <c r="A68" s="3" t="s">
        <v>185</v>
      </c>
      <c r="B68" s="3" t="s">
        <v>53</v>
      </c>
      <c r="C68" s="3" t="s">
        <v>85</v>
      </c>
      <c r="D68" s="3" t="s">
        <v>186</v>
      </c>
      <c r="E68" s="3" t="str">
        <f t="shared" si="1"/>
        <v>Tuesday</v>
      </c>
      <c r="F68" s="3">
        <v>30.0</v>
      </c>
      <c r="G68" s="3">
        <v>72.0</v>
      </c>
      <c r="H68" s="3" t="s">
        <v>60</v>
      </c>
      <c r="I68" s="3" t="s">
        <v>47</v>
      </c>
      <c r="J68" s="3">
        <v>6.18</v>
      </c>
      <c r="K68" s="3">
        <v>26.24</v>
      </c>
      <c r="L68" s="3">
        <v>3.0</v>
      </c>
      <c r="M68" s="8">
        <v>1.0</v>
      </c>
    </row>
    <row r="69" ht="14.25" customHeight="1">
      <c r="A69" s="3" t="s">
        <v>187</v>
      </c>
      <c r="B69" s="3" t="s">
        <v>65</v>
      </c>
      <c r="C69" s="3" t="s">
        <v>50</v>
      </c>
      <c r="D69" s="3" t="s">
        <v>188</v>
      </c>
      <c r="E69" s="3" t="str">
        <f t="shared" si="1"/>
        <v>Saturday</v>
      </c>
      <c r="F69" s="3">
        <v>14.0</v>
      </c>
      <c r="G69" s="3">
        <v>165.0</v>
      </c>
      <c r="H69" s="3" t="s">
        <v>46</v>
      </c>
      <c r="I69" s="3" t="s">
        <v>47</v>
      </c>
      <c r="J69" s="3">
        <v>2.93</v>
      </c>
      <c r="K69" s="3">
        <v>14.53</v>
      </c>
      <c r="L69" s="3">
        <v>5.0</v>
      </c>
      <c r="M69" s="8">
        <v>1.0</v>
      </c>
    </row>
    <row r="70" ht="14.25" customHeight="1">
      <c r="A70" s="3" t="s">
        <v>189</v>
      </c>
      <c r="B70" s="3" t="s">
        <v>53</v>
      </c>
      <c r="C70" s="3" t="s">
        <v>58</v>
      </c>
      <c r="D70" s="3" t="s">
        <v>190</v>
      </c>
      <c r="E70" s="3" t="str">
        <f t="shared" si="1"/>
        <v>Friday</v>
      </c>
      <c r="F70" s="3">
        <v>28.0</v>
      </c>
      <c r="G70" s="3">
        <v>32.0</v>
      </c>
      <c r="H70" s="3" t="s">
        <v>60</v>
      </c>
      <c r="I70" s="3" t="s">
        <v>47</v>
      </c>
      <c r="J70" s="3">
        <v>5.96</v>
      </c>
      <c r="K70" s="3">
        <v>22.51</v>
      </c>
      <c r="L70" s="3">
        <v>4.0</v>
      </c>
      <c r="M70" s="8">
        <v>1.0</v>
      </c>
    </row>
    <row r="71" ht="14.25" customHeight="1">
      <c r="A71" s="3" t="s">
        <v>191</v>
      </c>
      <c r="B71" s="3" t="s">
        <v>49</v>
      </c>
      <c r="C71" s="3" t="s">
        <v>44</v>
      </c>
      <c r="D71" s="3" t="s">
        <v>192</v>
      </c>
      <c r="E71" s="3" t="str">
        <f t="shared" si="1"/>
        <v>Monday</v>
      </c>
      <c r="F71" s="3">
        <v>30.0</v>
      </c>
      <c r="G71" s="3">
        <v>82.0</v>
      </c>
      <c r="H71" s="3" t="s">
        <v>46</v>
      </c>
      <c r="I71" s="3" t="s">
        <v>56</v>
      </c>
      <c r="J71" s="3">
        <v>6.17</v>
      </c>
      <c r="K71" s="3">
        <v>20.45</v>
      </c>
      <c r="L71" s="3">
        <v>2.0</v>
      </c>
      <c r="M71" s="8">
        <v>1.0</v>
      </c>
    </row>
    <row r="72" ht="14.25" customHeight="1">
      <c r="A72" s="3" t="s">
        <v>193</v>
      </c>
      <c r="B72" s="3" t="s">
        <v>53</v>
      </c>
      <c r="C72" s="3" t="s">
        <v>71</v>
      </c>
      <c r="D72" s="3" t="s">
        <v>194</v>
      </c>
      <c r="E72" s="3" t="str">
        <f t="shared" si="1"/>
        <v>Thursday</v>
      </c>
      <c r="F72" s="3">
        <v>9.0</v>
      </c>
      <c r="G72" s="3">
        <v>175.0</v>
      </c>
      <c r="H72" s="3" t="s">
        <v>60</v>
      </c>
      <c r="I72" s="3" t="s">
        <v>56</v>
      </c>
      <c r="J72" s="3">
        <v>2.16</v>
      </c>
      <c r="K72" s="3">
        <v>10.94</v>
      </c>
      <c r="L72" s="3">
        <v>1.0</v>
      </c>
      <c r="M72" s="8">
        <v>1.0</v>
      </c>
    </row>
    <row r="73" ht="14.25" customHeight="1">
      <c r="A73" s="3" t="s">
        <v>195</v>
      </c>
      <c r="B73" s="3" t="s">
        <v>49</v>
      </c>
      <c r="C73" s="3" t="s">
        <v>85</v>
      </c>
      <c r="D73" s="3" t="s">
        <v>196</v>
      </c>
      <c r="E73" s="3" t="str">
        <f t="shared" si="1"/>
        <v>Tuesday</v>
      </c>
      <c r="F73" s="3">
        <v>15.0</v>
      </c>
      <c r="G73" s="3">
        <v>122.0</v>
      </c>
      <c r="H73" s="3" t="s">
        <v>46</v>
      </c>
      <c r="I73" s="3" t="s">
        <v>56</v>
      </c>
      <c r="J73" s="3">
        <v>3.22</v>
      </c>
      <c r="K73" s="3">
        <v>14.35</v>
      </c>
      <c r="L73" s="3">
        <v>5.0</v>
      </c>
      <c r="M73" s="8">
        <v>1.0</v>
      </c>
    </row>
    <row r="74" ht="14.25" customHeight="1">
      <c r="A74" s="3" t="s">
        <v>197</v>
      </c>
      <c r="B74" s="3" t="s">
        <v>43</v>
      </c>
      <c r="C74" s="3" t="s">
        <v>54</v>
      </c>
      <c r="D74" s="3" t="s">
        <v>198</v>
      </c>
      <c r="E74" s="3" t="str">
        <f t="shared" si="1"/>
        <v>Wednesday</v>
      </c>
      <c r="F74" s="3">
        <v>14.0</v>
      </c>
      <c r="G74" s="3">
        <v>158.0</v>
      </c>
      <c r="H74" s="3" t="s">
        <v>46</v>
      </c>
      <c r="I74" s="3" t="s">
        <v>47</v>
      </c>
      <c r="J74" s="3">
        <v>3.19</v>
      </c>
      <c r="K74" s="3">
        <v>18.89</v>
      </c>
      <c r="L74" s="3">
        <v>2.0</v>
      </c>
      <c r="M74" s="8">
        <v>1.0</v>
      </c>
    </row>
    <row r="75" ht="14.25" customHeight="1">
      <c r="A75" s="3" t="s">
        <v>199</v>
      </c>
      <c r="B75" s="3" t="s">
        <v>43</v>
      </c>
      <c r="C75" s="3" t="s">
        <v>62</v>
      </c>
      <c r="D75" s="3" t="s">
        <v>200</v>
      </c>
      <c r="E75" s="3" t="str">
        <f t="shared" si="1"/>
        <v>Sunday</v>
      </c>
      <c r="F75" s="3">
        <v>5.0</v>
      </c>
      <c r="G75" s="3">
        <v>74.0</v>
      </c>
      <c r="H75" s="3" t="s">
        <v>60</v>
      </c>
      <c r="I75" s="3" t="s">
        <v>47</v>
      </c>
      <c r="J75" s="3">
        <v>1.44</v>
      </c>
      <c r="K75" s="3">
        <v>11.33</v>
      </c>
      <c r="L75" s="3">
        <v>5.0</v>
      </c>
      <c r="M75" s="8">
        <v>1.0</v>
      </c>
    </row>
    <row r="76" ht="14.25" customHeight="1">
      <c r="A76" s="3" t="s">
        <v>201</v>
      </c>
      <c r="B76" s="3" t="s">
        <v>49</v>
      </c>
      <c r="C76" s="3" t="s">
        <v>50</v>
      </c>
      <c r="D76" s="3" t="s">
        <v>202</v>
      </c>
      <c r="E76" s="3" t="str">
        <f t="shared" si="1"/>
        <v>Saturday</v>
      </c>
      <c r="F76" s="3">
        <v>13.0</v>
      </c>
      <c r="G76" s="3">
        <v>69.0</v>
      </c>
      <c r="H76" s="3" t="s">
        <v>46</v>
      </c>
      <c r="I76" s="3" t="s">
        <v>47</v>
      </c>
      <c r="J76" s="3">
        <v>2.79</v>
      </c>
      <c r="K76" s="3">
        <v>18.26</v>
      </c>
      <c r="L76" s="3">
        <v>1.0</v>
      </c>
      <c r="M76" s="8">
        <v>1.0</v>
      </c>
    </row>
    <row r="77" ht="14.25" customHeight="1">
      <c r="A77" s="3" t="s">
        <v>203</v>
      </c>
      <c r="B77" s="3" t="s">
        <v>43</v>
      </c>
      <c r="C77" s="3" t="s">
        <v>50</v>
      </c>
      <c r="D77" s="3" t="s">
        <v>204</v>
      </c>
      <c r="E77" s="3" t="str">
        <f t="shared" si="1"/>
        <v>Saturday</v>
      </c>
      <c r="F77" s="3">
        <v>3.0</v>
      </c>
      <c r="G77" s="3">
        <v>124.0</v>
      </c>
      <c r="H77" s="3" t="s">
        <v>46</v>
      </c>
      <c r="I77" s="3" t="s">
        <v>56</v>
      </c>
      <c r="J77" s="3">
        <v>0.93</v>
      </c>
      <c r="K77" s="3">
        <v>13.74</v>
      </c>
      <c r="L77" s="3">
        <v>3.0</v>
      </c>
      <c r="M77" s="8">
        <v>1.0</v>
      </c>
    </row>
    <row r="78" ht="14.25" customHeight="1">
      <c r="A78" s="3" t="s">
        <v>205</v>
      </c>
      <c r="B78" s="3" t="s">
        <v>65</v>
      </c>
      <c r="C78" s="3" t="s">
        <v>44</v>
      </c>
      <c r="D78" s="3" t="s">
        <v>206</v>
      </c>
      <c r="E78" s="3" t="str">
        <f t="shared" si="1"/>
        <v>Monday</v>
      </c>
      <c r="F78" s="3">
        <v>21.0</v>
      </c>
      <c r="G78" s="3">
        <v>146.0</v>
      </c>
      <c r="H78" s="3" t="s">
        <v>46</v>
      </c>
      <c r="I78" s="3" t="s">
        <v>47</v>
      </c>
      <c r="J78" s="3">
        <v>4.64</v>
      </c>
      <c r="K78" s="3">
        <v>22.51</v>
      </c>
      <c r="L78" s="3">
        <v>2.0</v>
      </c>
      <c r="M78" s="8">
        <v>1.0</v>
      </c>
    </row>
    <row r="79" ht="14.25" customHeight="1">
      <c r="A79" s="3" t="s">
        <v>207</v>
      </c>
      <c r="B79" s="3" t="s">
        <v>53</v>
      </c>
      <c r="C79" s="3" t="s">
        <v>58</v>
      </c>
      <c r="D79" s="3" t="s">
        <v>208</v>
      </c>
      <c r="E79" s="3" t="str">
        <f t="shared" si="1"/>
        <v>Friday</v>
      </c>
      <c r="F79" s="3">
        <v>12.0</v>
      </c>
      <c r="G79" s="3">
        <v>80.0</v>
      </c>
      <c r="H79" s="3" t="s">
        <v>46</v>
      </c>
      <c r="I79" s="3" t="s">
        <v>47</v>
      </c>
      <c r="J79" s="3">
        <v>2.9</v>
      </c>
      <c r="K79" s="3">
        <v>17.13</v>
      </c>
      <c r="L79" s="3">
        <v>3.0</v>
      </c>
      <c r="M79" s="8">
        <v>1.0</v>
      </c>
    </row>
    <row r="80" ht="14.25" customHeight="1">
      <c r="A80" s="3" t="s">
        <v>209</v>
      </c>
      <c r="B80" s="3" t="s">
        <v>49</v>
      </c>
      <c r="C80" s="3" t="s">
        <v>85</v>
      </c>
      <c r="D80" s="3" t="s">
        <v>210</v>
      </c>
      <c r="E80" s="3" t="str">
        <f t="shared" si="1"/>
        <v>Tuesday</v>
      </c>
      <c r="F80" s="3">
        <v>21.0</v>
      </c>
      <c r="G80" s="3">
        <v>106.0</v>
      </c>
      <c r="H80" s="3" t="s">
        <v>46</v>
      </c>
      <c r="I80" s="3" t="s">
        <v>47</v>
      </c>
      <c r="J80" s="3">
        <v>4.33</v>
      </c>
      <c r="K80" s="3">
        <v>21.71</v>
      </c>
      <c r="L80" s="3">
        <v>2.0</v>
      </c>
      <c r="M80" s="8">
        <v>1.0</v>
      </c>
    </row>
    <row r="81" ht="14.25" customHeight="1">
      <c r="A81" s="3" t="s">
        <v>211</v>
      </c>
      <c r="B81" s="3" t="s">
        <v>43</v>
      </c>
      <c r="C81" s="3" t="s">
        <v>85</v>
      </c>
      <c r="D81" s="3" t="s">
        <v>212</v>
      </c>
      <c r="E81" s="3" t="str">
        <f t="shared" si="1"/>
        <v>Tuesday</v>
      </c>
      <c r="F81" s="3">
        <v>13.0</v>
      </c>
      <c r="G81" s="3">
        <v>44.0</v>
      </c>
      <c r="H81" s="3" t="s">
        <v>60</v>
      </c>
      <c r="I81" s="3" t="s">
        <v>47</v>
      </c>
      <c r="J81" s="3">
        <v>2.92</v>
      </c>
      <c r="K81" s="3">
        <v>14.34</v>
      </c>
      <c r="L81" s="3">
        <v>4.0</v>
      </c>
      <c r="M81" s="8">
        <v>1.0</v>
      </c>
    </row>
    <row r="82" ht="14.25" customHeight="1">
      <c r="A82" s="3" t="s">
        <v>213</v>
      </c>
      <c r="B82" s="3" t="s">
        <v>49</v>
      </c>
      <c r="C82" s="3" t="s">
        <v>85</v>
      </c>
      <c r="D82" s="3" t="s">
        <v>214</v>
      </c>
      <c r="E82" s="3" t="str">
        <f t="shared" si="1"/>
        <v>Tuesday</v>
      </c>
      <c r="F82" s="3">
        <v>10.0</v>
      </c>
      <c r="G82" s="3">
        <v>104.0</v>
      </c>
      <c r="H82" s="3" t="s">
        <v>60</v>
      </c>
      <c r="I82" s="3" t="s">
        <v>56</v>
      </c>
      <c r="J82" s="3">
        <v>2.39</v>
      </c>
      <c r="K82" s="3">
        <v>18.93</v>
      </c>
      <c r="L82" s="3">
        <v>5.0</v>
      </c>
      <c r="M82" s="8">
        <v>1.0</v>
      </c>
    </row>
    <row r="83" ht="14.25" customHeight="1">
      <c r="A83" s="3" t="s">
        <v>215</v>
      </c>
      <c r="B83" s="3" t="s">
        <v>49</v>
      </c>
      <c r="C83" s="3" t="s">
        <v>62</v>
      </c>
      <c r="D83" s="3" t="s">
        <v>216</v>
      </c>
      <c r="E83" s="3" t="str">
        <f t="shared" si="1"/>
        <v>Sunday</v>
      </c>
      <c r="F83" s="3">
        <v>27.0</v>
      </c>
      <c r="G83" s="3">
        <v>31.0</v>
      </c>
      <c r="H83" s="3" t="s">
        <v>46</v>
      </c>
      <c r="I83" s="3" t="s">
        <v>47</v>
      </c>
      <c r="J83" s="3">
        <v>5.83</v>
      </c>
      <c r="K83" s="3">
        <v>21.17</v>
      </c>
      <c r="L83" s="3">
        <v>2.0</v>
      </c>
      <c r="M83" s="8">
        <v>1.0</v>
      </c>
    </row>
    <row r="84" ht="14.25" customHeight="1">
      <c r="A84" s="3" t="s">
        <v>217</v>
      </c>
      <c r="B84" s="3" t="s">
        <v>53</v>
      </c>
      <c r="C84" s="3" t="s">
        <v>62</v>
      </c>
      <c r="D84" s="3" t="s">
        <v>218</v>
      </c>
      <c r="E84" s="3" t="str">
        <f t="shared" si="1"/>
        <v>Sunday</v>
      </c>
      <c r="F84" s="3">
        <v>5.0</v>
      </c>
      <c r="G84" s="3">
        <v>180.0</v>
      </c>
      <c r="H84" s="3" t="s">
        <v>60</v>
      </c>
      <c r="I84" s="3" t="s">
        <v>47</v>
      </c>
      <c r="J84" s="3">
        <v>1.17</v>
      </c>
      <c r="K84" s="3">
        <v>16.72</v>
      </c>
      <c r="L84" s="3">
        <v>5.0</v>
      </c>
      <c r="M84" s="8">
        <v>1.0</v>
      </c>
    </row>
    <row r="85" ht="14.25" customHeight="1">
      <c r="A85" s="3" t="s">
        <v>219</v>
      </c>
      <c r="B85" s="3" t="s">
        <v>53</v>
      </c>
      <c r="C85" s="3" t="s">
        <v>50</v>
      </c>
      <c r="D85" s="3" t="s">
        <v>176</v>
      </c>
      <c r="E85" s="3" t="str">
        <f t="shared" si="1"/>
        <v>Saturday</v>
      </c>
      <c r="F85" s="3">
        <v>4.0</v>
      </c>
      <c r="G85" s="3">
        <v>100.0</v>
      </c>
      <c r="H85" s="3" t="s">
        <v>46</v>
      </c>
      <c r="I85" s="3" t="s">
        <v>47</v>
      </c>
      <c r="J85" s="3">
        <v>1.25</v>
      </c>
      <c r="K85" s="3">
        <v>16.73</v>
      </c>
      <c r="L85" s="3">
        <v>5.0</v>
      </c>
      <c r="M85" s="8">
        <v>1.0</v>
      </c>
    </row>
    <row r="86" ht="14.25" customHeight="1">
      <c r="A86" s="3" t="s">
        <v>220</v>
      </c>
      <c r="B86" s="3" t="s">
        <v>49</v>
      </c>
      <c r="C86" s="3" t="s">
        <v>58</v>
      </c>
      <c r="D86" s="3" t="s">
        <v>142</v>
      </c>
      <c r="E86" s="3" t="str">
        <f t="shared" si="1"/>
        <v>Friday</v>
      </c>
      <c r="F86" s="3">
        <v>11.0</v>
      </c>
      <c r="G86" s="3">
        <v>85.0</v>
      </c>
      <c r="H86" s="3" t="s">
        <v>46</v>
      </c>
      <c r="I86" s="3" t="s">
        <v>47</v>
      </c>
      <c r="J86" s="3">
        <v>2.64</v>
      </c>
      <c r="K86" s="3">
        <v>10.98</v>
      </c>
      <c r="L86" s="3">
        <v>2.0</v>
      </c>
      <c r="M86" s="8">
        <v>1.0</v>
      </c>
    </row>
    <row r="87" ht="14.25" customHeight="1">
      <c r="A87" s="3" t="s">
        <v>221</v>
      </c>
      <c r="B87" s="3" t="s">
        <v>43</v>
      </c>
      <c r="C87" s="3" t="s">
        <v>50</v>
      </c>
      <c r="D87" s="3" t="s">
        <v>222</v>
      </c>
      <c r="E87" s="3" t="str">
        <f t="shared" si="1"/>
        <v>Saturday</v>
      </c>
      <c r="F87" s="3">
        <v>25.0</v>
      </c>
      <c r="G87" s="3">
        <v>86.0</v>
      </c>
      <c r="H87" s="3" t="s">
        <v>60</v>
      </c>
      <c r="I87" s="3" t="s">
        <v>47</v>
      </c>
      <c r="J87" s="3">
        <v>5.24</v>
      </c>
      <c r="K87" s="3">
        <v>23.73</v>
      </c>
      <c r="L87" s="3">
        <v>3.0</v>
      </c>
      <c r="M87" s="8">
        <v>1.0</v>
      </c>
    </row>
    <row r="88" ht="14.25" customHeight="1">
      <c r="A88" s="3" t="s">
        <v>223</v>
      </c>
      <c r="B88" s="3" t="s">
        <v>53</v>
      </c>
      <c r="C88" s="3" t="s">
        <v>58</v>
      </c>
      <c r="D88" s="3" t="s">
        <v>224</v>
      </c>
      <c r="E88" s="3" t="str">
        <f t="shared" si="1"/>
        <v>Friday</v>
      </c>
      <c r="F88" s="3">
        <v>18.0</v>
      </c>
      <c r="G88" s="3">
        <v>97.0</v>
      </c>
      <c r="H88" s="3" t="s">
        <v>46</v>
      </c>
      <c r="I88" s="3" t="s">
        <v>47</v>
      </c>
      <c r="J88" s="3">
        <v>4.05</v>
      </c>
      <c r="K88" s="3">
        <v>20.05</v>
      </c>
      <c r="L88" s="3">
        <v>2.0</v>
      </c>
      <c r="M88" s="8">
        <v>1.0</v>
      </c>
    </row>
    <row r="89" ht="14.25" customHeight="1">
      <c r="A89" s="3" t="s">
        <v>225</v>
      </c>
      <c r="B89" s="3" t="s">
        <v>65</v>
      </c>
      <c r="C89" s="3" t="s">
        <v>50</v>
      </c>
      <c r="D89" s="3" t="s">
        <v>226</v>
      </c>
      <c r="E89" s="3" t="str">
        <f t="shared" si="1"/>
        <v>Saturday</v>
      </c>
      <c r="F89" s="3">
        <v>4.0</v>
      </c>
      <c r="G89" s="3">
        <v>160.0</v>
      </c>
      <c r="H89" s="3" t="s">
        <v>46</v>
      </c>
      <c r="I89" s="3" t="s">
        <v>56</v>
      </c>
      <c r="J89" s="3">
        <v>0.96</v>
      </c>
      <c r="K89" s="3">
        <v>8.38</v>
      </c>
      <c r="L89" s="3">
        <v>1.0</v>
      </c>
      <c r="M89" s="8">
        <v>1.0</v>
      </c>
    </row>
    <row r="90" ht="14.25" customHeight="1">
      <c r="A90" s="3" t="s">
        <v>227</v>
      </c>
      <c r="B90" s="3" t="s">
        <v>65</v>
      </c>
      <c r="C90" s="3" t="s">
        <v>58</v>
      </c>
      <c r="D90" s="3" t="s">
        <v>228</v>
      </c>
      <c r="E90" s="3" t="str">
        <f t="shared" si="1"/>
        <v>Friday</v>
      </c>
      <c r="F90" s="3">
        <v>14.0</v>
      </c>
      <c r="G90" s="3">
        <v>111.0</v>
      </c>
      <c r="H90" s="3" t="s">
        <v>46</v>
      </c>
      <c r="I90" s="3" t="s">
        <v>47</v>
      </c>
      <c r="J90" s="3">
        <v>3.29</v>
      </c>
      <c r="K90" s="3">
        <v>21.36</v>
      </c>
      <c r="L90" s="3">
        <v>3.0</v>
      </c>
      <c r="M90" s="8">
        <v>1.0</v>
      </c>
    </row>
    <row r="91" ht="14.25" customHeight="1">
      <c r="A91" s="3" t="s">
        <v>229</v>
      </c>
      <c r="B91" s="3" t="s">
        <v>49</v>
      </c>
      <c r="C91" s="3" t="s">
        <v>54</v>
      </c>
      <c r="D91" s="3" t="s">
        <v>230</v>
      </c>
      <c r="E91" s="3" t="str">
        <f t="shared" si="1"/>
        <v>Wednesday</v>
      </c>
      <c r="F91" s="3">
        <v>11.0</v>
      </c>
      <c r="G91" s="3">
        <v>127.0</v>
      </c>
      <c r="H91" s="3" t="s">
        <v>46</v>
      </c>
      <c r="I91" s="3" t="s">
        <v>56</v>
      </c>
      <c r="J91" s="3">
        <v>2.66</v>
      </c>
      <c r="K91" s="3">
        <v>10.71</v>
      </c>
      <c r="L91" s="3">
        <v>5.0</v>
      </c>
      <c r="M91" s="8">
        <v>1.0</v>
      </c>
    </row>
    <row r="92" ht="14.25" customHeight="1">
      <c r="A92" s="3" t="s">
        <v>231</v>
      </c>
      <c r="B92" s="3" t="s">
        <v>43</v>
      </c>
      <c r="C92" s="3" t="s">
        <v>85</v>
      </c>
      <c r="D92" s="3" t="s">
        <v>232</v>
      </c>
      <c r="E92" s="3" t="str">
        <f t="shared" si="1"/>
        <v>Tuesday</v>
      </c>
      <c r="F92" s="3">
        <v>20.0</v>
      </c>
      <c r="G92" s="3">
        <v>98.0</v>
      </c>
      <c r="H92" s="3" t="s">
        <v>46</v>
      </c>
      <c r="I92" s="3" t="s">
        <v>56</v>
      </c>
      <c r="J92" s="3">
        <v>4.44</v>
      </c>
      <c r="K92" s="3">
        <v>16.89</v>
      </c>
      <c r="L92" s="3">
        <v>5.0</v>
      </c>
      <c r="M92" s="8">
        <v>1.0</v>
      </c>
    </row>
    <row r="93" ht="14.25" customHeight="1">
      <c r="A93" s="3" t="s">
        <v>233</v>
      </c>
      <c r="B93" s="3" t="s">
        <v>53</v>
      </c>
      <c r="C93" s="3" t="s">
        <v>71</v>
      </c>
      <c r="D93" s="3" t="s">
        <v>234</v>
      </c>
      <c r="E93" s="3" t="str">
        <f t="shared" si="1"/>
        <v>Thursday</v>
      </c>
      <c r="F93" s="3">
        <v>6.0</v>
      </c>
      <c r="G93" s="3">
        <v>44.0</v>
      </c>
      <c r="H93" s="3" t="s">
        <v>46</v>
      </c>
      <c r="I93" s="3" t="s">
        <v>56</v>
      </c>
      <c r="J93" s="3">
        <v>1.49</v>
      </c>
      <c r="K93" s="3">
        <v>15.5</v>
      </c>
      <c r="L93" s="3">
        <v>1.0</v>
      </c>
      <c r="M93" s="8">
        <v>1.0</v>
      </c>
    </row>
    <row r="94" ht="14.25" customHeight="1">
      <c r="A94" s="3" t="s">
        <v>235</v>
      </c>
      <c r="B94" s="3" t="s">
        <v>49</v>
      </c>
      <c r="C94" s="3" t="s">
        <v>62</v>
      </c>
      <c r="D94" s="3" t="s">
        <v>236</v>
      </c>
      <c r="E94" s="3" t="str">
        <f t="shared" si="1"/>
        <v>Sunday</v>
      </c>
      <c r="F94" s="3">
        <v>9.0</v>
      </c>
      <c r="G94" s="3">
        <v>58.0</v>
      </c>
      <c r="H94" s="3" t="s">
        <v>46</v>
      </c>
      <c r="I94" s="3" t="s">
        <v>47</v>
      </c>
      <c r="J94" s="3">
        <v>2.15</v>
      </c>
      <c r="K94" s="3">
        <v>19.34</v>
      </c>
      <c r="L94" s="3">
        <v>2.0</v>
      </c>
      <c r="M94" s="8">
        <v>1.0</v>
      </c>
    </row>
    <row r="95" ht="14.25" customHeight="1">
      <c r="A95" s="3" t="s">
        <v>237</v>
      </c>
      <c r="B95" s="3" t="s">
        <v>43</v>
      </c>
      <c r="C95" s="3" t="s">
        <v>44</v>
      </c>
      <c r="D95" s="3" t="s">
        <v>238</v>
      </c>
      <c r="E95" s="3" t="str">
        <f t="shared" si="1"/>
        <v>Monday</v>
      </c>
      <c r="F95" s="3">
        <v>16.0</v>
      </c>
      <c r="G95" s="3">
        <v>62.0</v>
      </c>
      <c r="H95" s="3" t="s">
        <v>46</v>
      </c>
      <c r="I95" s="3" t="s">
        <v>47</v>
      </c>
      <c r="J95" s="3">
        <v>3.5</v>
      </c>
      <c r="K95" s="3">
        <v>15.58</v>
      </c>
      <c r="L95" s="3">
        <v>3.0</v>
      </c>
      <c r="M95" s="8">
        <v>1.0</v>
      </c>
    </row>
    <row r="96" ht="14.25" customHeight="1">
      <c r="A96" s="3" t="s">
        <v>239</v>
      </c>
      <c r="B96" s="3" t="s">
        <v>53</v>
      </c>
      <c r="C96" s="3" t="s">
        <v>62</v>
      </c>
      <c r="D96" s="3" t="s">
        <v>240</v>
      </c>
      <c r="E96" s="3" t="str">
        <f t="shared" si="1"/>
        <v>Sunday</v>
      </c>
      <c r="F96" s="3">
        <v>26.0</v>
      </c>
      <c r="G96" s="3">
        <v>149.0</v>
      </c>
      <c r="H96" s="3" t="s">
        <v>60</v>
      </c>
      <c r="I96" s="3" t="s">
        <v>56</v>
      </c>
      <c r="J96" s="3">
        <v>5.68</v>
      </c>
      <c r="K96" s="3">
        <v>24.24</v>
      </c>
      <c r="L96" s="3">
        <v>4.0</v>
      </c>
      <c r="M96" s="8">
        <v>1.0</v>
      </c>
    </row>
    <row r="97" ht="14.25" customHeight="1">
      <c r="A97" s="3" t="s">
        <v>241</v>
      </c>
      <c r="B97" s="3" t="s">
        <v>43</v>
      </c>
      <c r="C97" s="3" t="s">
        <v>50</v>
      </c>
      <c r="D97" s="3" t="s">
        <v>59</v>
      </c>
      <c r="E97" s="3" t="str">
        <f t="shared" si="1"/>
        <v>Saturday</v>
      </c>
      <c r="F97" s="3">
        <v>28.0</v>
      </c>
      <c r="G97" s="3">
        <v>30.0</v>
      </c>
      <c r="H97" s="3" t="s">
        <v>60</v>
      </c>
      <c r="I97" s="3" t="s">
        <v>56</v>
      </c>
      <c r="J97" s="3">
        <v>5.79</v>
      </c>
      <c r="K97" s="3">
        <v>25.37</v>
      </c>
      <c r="L97" s="3">
        <v>2.0</v>
      </c>
      <c r="M97" s="8">
        <v>1.0</v>
      </c>
    </row>
    <row r="98" ht="14.25" customHeight="1">
      <c r="A98" s="3" t="s">
        <v>242</v>
      </c>
      <c r="B98" s="3" t="s">
        <v>53</v>
      </c>
      <c r="C98" s="3" t="s">
        <v>71</v>
      </c>
      <c r="D98" s="3" t="s">
        <v>243</v>
      </c>
      <c r="E98" s="3" t="str">
        <f t="shared" si="1"/>
        <v>Thursday</v>
      </c>
      <c r="F98" s="3">
        <v>24.0</v>
      </c>
      <c r="G98" s="3">
        <v>107.0</v>
      </c>
      <c r="H98" s="3" t="s">
        <v>46</v>
      </c>
      <c r="I98" s="3" t="s">
        <v>47</v>
      </c>
      <c r="J98" s="3">
        <v>4.96</v>
      </c>
      <c r="K98" s="3">
        <v>19.45</v>
      </c>
      <c r="L98" s="3">
        <v>1.0</v>
      </c>
      <c r="M98" s="8">
        <v>1.0</v>
      </c>
    </row>
    <row r="99" ht="14.25" customHeight="1">
      <c r="A99" s="3" t="s">
        <v>244</v>
      </c>
      <c r="B99" s="3" t="s">
        <v>53</v>
      </c>
      <c r="C99" s="3" t="s">
        <v>71</v>
      </c>
      <c r="D99" s="3" t="s">
        <v>245</v>
      </c>
      <c r="E99" s="3" t="str">
        <f t="shared" si="1"/>
        <v>Thursday</v>
      </c>
      <c r="F99" s="3">
        <v>25.0</v>
      </c>
      <c r="G99" s="3">
        <v>171.0</v>
      </c>
      <c r="H99" s="3" t="s">
        <v>46</v>
      </c>
      <c r="I99" s="3" t="s">
        <v>56</v>
      </c>
      <c r="J99" s="3">
        <v>5.39</v>
      </c>
      <c r="K99" s="3">
        <v>23.42</v>
      </c>
      <c r="L99" s="3">
        <v>5.0</v>
      </c>
      <c r="M99" s="8">
        <v>1.0</v>
      </c>
    </row>
    <row r="100" ht="14.25" customHeight="1">
      <c r="A100" s="3" t="s">
        <v>246</v>
      </c>
      <c r="B100" s="3" t="s">
        <v>53</v>
      </c>
      <c r="C100" s="3" t="s">
        <v>54</v>
      </c>
      <c r="D100" s="3" t="s">
        <v>247</v>
      </c>
      <c r="E100" s="3" t="str">
        <f t="shared" si="1"/>
        <v>Wednesday</v>
      </c>
      <c r="F100" s="3">
        <v>5.0</v>
      </c>
      <c r="G100" s="3">
        <v>59.0</v>
      </c>
      <c r="H100" s="3" t="s">
        <v>60</v>
      </c>
      <c r="I100" s="3" t="s">
        <v>56</v>
      </c>
      <c r="J100" s="3">
        <v>1.15</v>
      </c>
      <c r="K100" s="3">
        <v>14.7</v>
      </c>
      <c r="L100" s="3">
        <v>2.0</v>
      </c>
      <c r="M100" s="8">
        <v>1.0</v>
      </c>
    </row>
    <row r="101" ht="14.25" customHeight="1">
      <c r="A101" s="3" t="s">
        <v>248</v>
      </c>
      <c r="B101" s="3" t="s">
        <v>43</v>
      </c>
      <c r="C101" s="3" t="s">
        <v>85</v>
      </c>
      <c r="D101" s="3" t="s">
        <v>249</v>
      </c>
      <c r="E101" s="3" t="str">
        <f t="shared" si="1"/>
        <v>Tuesday</v>
      </c>
      <c r="F101" s="3">
        <v>8.0</v>
      </c>
      <c r="G101" s="3">
        <v>149.0</v>
      </c>
      <c r="H101" s="3" t="s">
        <v>60</v>
      </c>
      <c r="I101" s="3" t="s">
        <v>47</v>
      </c>
      <c r="J101" s="3">
        <v>1.86</v>
      </c>
      <c r="K101" s="3">
        <v>11.32</v>
      </c>
      <c r="L101" s="3">
        <v>3.0</v>
      </c>
      <c r="M101" s="8">
        <v>1.0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1.86"/>
    <col customWidth="1" min="3" max="3" width="30.29"/>
  </cols>
  <sheetData>
    <row r="2">
      <c r="A2" s="7" t="s">
        <v>250</v>
      </c>
      <c r="C2" s="9"/>
    </row>
    <row r="4">
      <c r="A4" s="8" t="s">
        <v>251</v>
      </c>
    </row>
    <row r="6">
      <c r="A6" s="10" t="s">
        <v>252</v>
      </c>
      <c r="B6" s="10" t="s">
        <v>253</v>
      </c>
      <c r="C6" s="11"/>
    </row>
    <row r="7">
      <c r="A7" s="12" t="s">
        <v>43</v>
      </c>
      <c r="B7" s="13">
        <f>COUNTIFS(Data!B:B,"West",Data!I:I,"On-Time")/COUNTIF(Data!B:B,"West")</f>
        <v>0.5769230769</v>
      </c>
      <c r="C7" s="14"/>
    </row>
    <row r="8">
      <c r="A8" s="12" t="s">
        <v>49</v>
      </c>
      <c r="B8" s="15">
        <f>COUNTIFS(Data!B:B,"East",Data!I:I,"On-Time")/COUNTIF(Data!B:B,"East")</f>
        <v>0.4666666667</v>
      </c>
      <c r="C8" s="14"/>
    </row>
    <row r="9">
      <c r="A9" s="12" t="s">
        <v>53</v>
      </c>
      <c r="B9" s="13">
        <f>COUNTIFS(Data!B:B,"North",Data!I:I,"On-Time")/COUNTIF(Data!B:B,"North")</f>
        <v>0.3636363636</v>
      </c>
      <c r="C9" s="14"/>
    </row>
    <row r="10">
      <c r="A10" s="12" t="s">
        <v>65</v>
      </c>
      <c r="B10" s="13">
        <f>COUNTIFS(Data!B:B,"South",Data!I:I,"On-Time")/COUNTIF(Data!B:B,"South") </f>
        <v>0.4545454545</v>
      </c>
      <c r="C10" s="14"/>
    </row>
    <row r="12">
      <c r="A12" s="8" t="s">
        <v>254</v>
      </c>
    </row>
    <row r="14">
      <c r="A14" s="10" t="s">
        <v>252</v>
      </c>
      <c r="B14" s="10" t="s">
        <v>255</v>
      </c>
    </row>
    <row r="15">
      <c r="A15" s="12" t="s">
        <v>43</v>
      </c>
      <c r="B15" s="12">
        <f>COUNTIFS(Data!B:B,"West",Data!I:I,"Delayed")</f>
        <v>11</v>
      </c>
    </row>
    <row r="16">
      <c r="A16" s="12" t="s">
        <v>49</v>
      </c>
      <c r="B16" s="12">
        <f>COUNTIFS(Data!B:B,"East",Data!I:I,"Delayed")</f>
        <v>16</v>
      </c>
    </row>
    <row r="17">
      <c r="A17" s="12" t="s">
        <v>53</v>
      </c>
      <c r="B17" s="12">
        <f>COUNTIFS(Data!B:B,"North",Data!I:I,"Delayed")</f>
        <v>14</v>
      </c>
    </row>
    <row r="18">
      <c r="A18" s="12" t="s">
        <v>65</v>
      </c>
      <c r="B18" s="12">
        <f>COUNTIFS(Data!B:B,"South",Data!I:I,"Delayed")</f>
        <v>12</v>
      </c>
    </row>
    <row r="19">
      <c r="A19" s="10" t="s">
        <v>256</v>
      </c>
      <c r="B19" s="12">
        <f>MAX(B15:B18)</f>
        <v>16</v>
      </c>
    </row>
    <row r="20">
      <c r="A20" s="10" t="s">
        <v>257</v>
      </c>
      <c r="B20" s="12" t="str">
        <f t="array" ref="B20">INDEX(A15:A18,MATCH(MAX(B15:B18),B15:B18,))</f>
        <v>East</v>
      </c>
    </row>
    <row r="22">
      <c r="A22" s="7" t="s">
        <v>258</v>
      </c>
    </row>
    <row r="24">
      <c r="A24" s="8" t="s">
        <v>259</v>
      </c>
    </row>
    <row r="27">
      <c r="A27" s="10" t="s">
        <v>252</v>
      </c>
      <c r="B27" s="16" t="s">
        <v>260</v>
      </c>
      <c r="C27" s="17"/>
      <c r="D27" s="18"/>
    </row>
    <row r="28">
      <c r="A28" s="12" t="s">
        <v>43</v>
      </c>
      <c r="B28" s="19">
        <f>AVERAGEIF(Data!B:B,"West",Data!G:G)</f>
        <v>108.4615385</v>
      </c>
      <c r="C28" s="17"/>
      <c r="D28" s="18"/>
    </row>
    <row r="29">
      <c r="A29" s="12" t="s">
        <v>49</v>
      </c>
      <c r="B29" s="19">
        <f>AVERAGEIF(Data!B:B,"East",Data!G:G)</f>
        <v>91.7</v>
      </c>
      <c r="C29" s="17"/>
      <c r="D29" s="18"/>
    </row>
    <row r="30">
      <c r="A30" s="12" t="s">
        <v>53</v>
      </c>
      <c r="B30" s="20">
        <f>AVERAGEIF(Data!B:B,"North",Data!G:G)</f>
        <v>103.8181818</v>
      </c>
      <c r="C30" s="21"/>
      <c r="D30" s="22"/>
    </row>
    <row r="31">
      <c r="A31" s="23" t="s">
        <v>65</v>
      </c>
      <c r="B31" s="14">
        <f>AVERAGEIF(Data!B:B,"South",Data!G:G)</f>
        <v>111.4545455</v>
      </c>
    </row>
    <row r="33">
      <c r="A33" s="8" t="s">
        <v>261</v>
      </c>
    </row>
    <row r="35">
      <c r="A35" s="7" t="s">
        <v>262</v>
      </c>
      <c r="C35" s="24">
        <f>AVERAGEIF(Data!H:H,"Yes",Data!G:G)</f>
        <v>104.2820513</v>
      </c>
    </row>
    <row r="37">
      <c r="A37" s="25" t="s">
        <v>263</v>
      </c>
      <c r="C37" s="26">
        <f>AVERAGEIF(Data!H:H,"No",Data!G:G)</f>
        <v>102.295082</v>
      </c>
    </row>
    <row r="38">
      <c r="A38" s="25"/>
      <c r="B38" s="25"/>
      <c r="C38" s="25"/>
    </row>
    <row r="39">
      <c r="A39" s="7" t="s">
        <v>264</v>
      </c>
      <c r="C39" s="26">
        <f>AVERAGEIF(Data!H:H,"Yes",Data!K:K)</f>
        <v>18.31564103</v>
      </c>
    </row>
    <row r="40">
      <c r="A40" s="27"/>
      <c r="B40" s="25"/>
      <c r="C40" s="25"/>
    </row>
    <row r="41">
      <c r="A41" s="7" t="s">
        <v>265</v>
      </c>
      <c r="B41" s="25"/>
      <c r="C41" s="26">
        <f>AVERAGEIF(Data!H:H,"No",Data!K:K)</f>
        <v>17.71213115</v>
      </c>
    </row>
    <row r="44">
      <c r="A44" s="7" t="s">
        <v>266</v>
      </c>
    </row>
    <row r="46">
      <c r="A46" s="8" t="s">
        <v>267</v>
      </c>
    </row>
    <row r="48">
      <c r="A48" s="10" t="s">
        <v>252</v>
      </c>
      <c r="B48" s="10" t="s">
        <v>268</v>
      </c>
    </row>
    <row r="49">
      <c r="A49" s="12" t="s">
        <v>43</v>
      </c>
      <c r="B49" s="28">
        <f>AVERAGEIF(Data!B:B,"West",Data!J:J)</f>
        <v>3.429615385</v>
      </c>
    </row>
    <row r="50">
      <c r="A50" s="12" t="s">
        <v>49</v>
      </c>
      <c r="B50" s="28">
        <f>AVERAGEIF(Data!B:B,"East",Data!J:J)</f>
        <v>3.372333333</v>
      </c>
    </row>
    <row r="51">
      <c r="A51" s="12" t="s">
        <v>53</v>
      </c>
      <c r="B51" s="28">
        <f>AVERAGEIF(Data!B:B,"North",Data!J:J)</f>
        <v>3.394545455</v>
      </c>
    </row>
    <row r="52">
      <c r="A52" s="12" t="s">
        <v>65</v>
      </c>
      <c r="B52" s="28">
        <f>AVERAGEIF(Data!B:B,"South",Data!J:J)</f>
        <v>3.640454545</v>
      </c>
    </row>
    <row r="53">
      <c r="A53" s="10" t="s">
        <v>269</v>
      </c>
      <c r="B53" s="28">
        <f>MAX(B49:B52)</f>
        <v>3.640454545</v>
      </c>
    </row>
    <row r="54">
      <c r="A54" s="10" t="s">
        <v>270</v>
      </c>
      <c r="B54" s="12" t="str">
        <f t="array" ref="B54">INDEX(A49:A52,MATCH(MAX(B49:B52),B49:B52,0))</f>
        <v>South</v>
      </c>
    </row>
    <row r="56">
      <c r="A56" s="8" t="s">
        <v>271</v>
      </c>
    </row>
    <row r="58">
      <c r="A58" s="10" t="s">
        <v>252</v>
      </c>
      <c r="B58" s="10" t="s">
        <v>272</v>
      </c>
    </row>
    <row r="59">
      <c r="A59" s="12" t="s">
        <v>43</v>
      </c>
      <c r="B59" s="28">
        <f>AVERAGEIF(Data!B:B,"West",Data!K:K)</f>
        <v>17.71923077</v>
      </c>
    </row>
    <row r="60">
      <c r="A60" s="12" t="s">
        <v>49</v>
      </c>
      <c r="B60" s="28">
        <f>AVERAGEIF(Data!B:B,"East",Data!K:K)</f>
        <v>17.498</v>
      </c>
    </row>
    <row r="61">
      <c r="A61" s="12" t="s">
        <v>53</v>
      </c>
      <c r="B61" s="28">
        <f>AVERAGEIF(Data!B:B,"North",Data!K:K)</f>
        <v>18.34454545</v>
      </c>
    </row>
    <row r="62">
      <c r="A62" s="12" t="s">
        <v>65</v>
      </c>
      <c r="B62" s="28">
        <f>AVERAGEIF(Data!B:B,"South",Data!K:K)</f>
        <v>18.43318182</v>
      </c>
    </row>
    <row r="64">
      <c r="A64" s="7" t="s">
        <v>273</v>
      </c>
    </row>
    <row r="66">
      <c r="A66" s="10" t="s">
        <v>252</v>
      </c>
      <c r="B66" s="10" t="s">
        <v>274</v>
      </c>
    </row>
    <row r="67">
      <c r="A67" s="12" t="s">
        <v>43</v>
      </c>
      <c r="B67" s="28">
        <f>AVERAGEIF(Data!B:B,"West",Data!L:L)</f>
        <v>3.5</v>
      </c>
    </row>
    <row r="68">
      <c r="A68" s="12" t="s">
        <v>49</v>
      </c>
      <c r="B68" s="28">
        <f>AVERAGEIF(Data!B:B,"East",Data!L:L)</f>
        <v>2.966666667</v>
      </c>
    </row>
    <row r="69">
      <c r="A69" s="12" t="s">
        <v>53</v>
      </c>
      <c r="B69" s="28">
        <f>AVERAGEIF(Data!B:B,"North",Data!L:L)</f>
        <v>2.636363636</v>
      </c>
    </row>
    <row r="70">
      <c r="A70" s="12" t="s">
        <v>65</v>
      </c>
      <c r="B70" s="28">
        <f>AVERAGEIF(Data!B:B,"South",Data!L:L)</f>
        <v>2.727272727</v>
      </c>
    </row>
    <row r="71">
      <c r="A71" s="10" t="s">
        <v>275</v>
      </c>
      <c r="B71" s="12" t="str">
        <f t="array" ref="B71">INDEX(A67:A70,MATCH(MAX(B67:B70),B67:B70,0))</f>
        <v>West</v>
      </c>
    </row>
    <row r="72">
      <c r="A72" s="10" t="s">
        <v>276</v>
      </c>
      <c r="B72" s="12" t="str">
        <f t="array" ref="B72">INDEX(A67:A70,MATCH(MIN(B67:B70),B67:B70,0))</f>
        <v>North</v>
      </c>
    </row>
    <row r="75">
      <c r="A75" s="8" t="s">
        <v>277</v>
      </c>
    </row>
    <row r="77">
      <c r="A77" s="7" t="s">
        <v>278</v>
      </c>
      <c r="C77" s="24">
        <f>AVERAGEIF(Data!I:I,"On-Time",Data!L:L)</f>
        <v>2.936170213</v>
      </c>
    </row>
    <row r="79">
      <c r="A79" s="7" t="s">
        <v>279</v>
      </c>
      <c r="B79" s="9"/>
      <c r="C79" s="24">
        <f>AVERAGEIF(Data!I:I,"Delayed",Data!L:L)</f>
        <v>3.018867925</v>
      </c>
    </row>
    <row r="81">
      <c r="A81" s="7" t="s">
        <v>280</v>
      </c>
    </row>
    <row r="83">
      <c r="A83" s="8" t="s">
        <v>281</v>
      </c>
    </row>
    <row r="85">
      <c r="A85" s="10" t="s">
        <v>33</v>
      </c>
      <c r="B85" s="10" t="s">
        <v>282</v>
      </c>
      <c r="C85" s="10" t="s">
        <v>283</v>
      </c>
    </row>
    <row r="86">
      <c r="A86" s="29" t="s">
        <v>284</v>
      </c>
      <c r="B86" s="13">
        <f>COUNTIFS(Data!E:E,"Monday",Data!I:I,"Delayed")/COUNTIF(Data!E:E,"Monday")</f>
        <v>0.5555555556</v>
      </c>
      <c r="C86" s="28">
        <f>AVERAGEIF(Data!E:E,"Monday",Data!K:K)</f>
        <v>18.51833333</v>
      </c>
    </row>
    <row r="87">
      <c r="A87" s="29" t="s">
        <v>285</v>
      </c>
      <c r="B87" s="13">
        <f>COUNTIFS(Data!E:E,"Tuesday",Data!I:I,"Delayed")/COUNTIF(Data!E:E,"Tuesday")</f>
        <v>0.4166666667</v>
      </c>
      <c r="C87" s="28">
        <f>AVERAGEIF(Data!E:E,"Tuesday",Data!K:K)</f>
        <v>17.57</v>
      </c>
    </row>
    <row r="88">
      <c r="A88" s="29" t="s">
        <v>286</v>
      </c>
      <c r="B88" s="13">
        <f>COUNTIFS(Data!E:E,"Wednesday",Data!I:I,"Delayed")/COUNTIF(Data!E:E,"Wednesday")</f>
        <v>0.4166666667</v>
      </c>
      <c r="C88" s="28">
        <f>AVERAGEIF(Data!E:E,"Wednesday",Data!K:K)</f>
        <v>17.7725</v>
      </c>
    </row>
    <row r="89">
      <c r="A89" s="29" t="s">
        <v>287</v>
      </c>
      <c r="B89" s="13">
        <f>COUNTIFS(Data!E:E,"Thursday",Data!I:I,"Delayed")/COUNTIF(Data!E:E,"Thursday")</f>
        <v>0.5333333333</v>
      </c>
      <c r="C89" s="28">
        <f>AVERAGEIF(Data!E:E,"Thursday",Data!K:K)</f>
        <v>18.12333333</v>
      </c>
    </row>
    <row r="90">
      <c r="A90" s="29" t="s">
        <v>288</v>
      </c>
      <c r="B90" s="13">
        <f>COUNTIFS(Data!E:E,"Friday",Data!I:I,"Delayed")/COUNTIF(Data!E:E,"Friday")</f>
        <v>0.625</v>
      </c>
      <c r="C90" s="28">
        <f>AVERAGEIF(Data!E:E,"Friday",Data!K:K)</f>
        <v>16.93125</v>
      </c>
    </row>
    <row r="91">
      <c r="A91" s="29" t="s">
        <v>289</v>
      </c>
      <c r="B91" s="13">
        <f>COUNTIFS(Data!E:E,"Saturday",Data!I:I,"Delayed")/COUNTIF(Data!E:E,"Saturday")</f>
        <v>0.6</v>
      </c>
      <c r="C91" s="28">
        <f>AVERAGEIF(Data!E:E,"Saturday",Data!K:K)</f>
        <v>19.49866667</v>
      </c>
    </row>
    <row r="92">
      <c r="A92" s="29" t="s">
        <v>290</v>
      </c>
      <c r="B92" s="13">
        <f>COUNTIFS(Data!E:E,"Sunday",Data!I:I,"Delayed")/COUNTIF(Data!E:E,"Sunday")</f>
        <v>0.5</v>
      </c>
      <c r="C92" s="28">
        <f>AVERAGEIF(Data!E:E,"Sunday",Data!K:K)</f>
        <v>16.84</v>
      </c>
    </row>
    <row r="93">
      <c r="A93" s="30"/>
      <c r="B93" s="30"/>
      <c r="C93" s="30"/>
    </row>
    <row r="94">
      <c r="A94" s="10" t="s">
        <v>252</v>
      </c>
      <c r="B94" s="10" t="s">
        <v>291</v>
      </c>
      <c r="C94" s="10" t="s">
        <v>292</v>
      </c>
    </row>
    <row r="95">
      <c r="A95" s="12" t="s">
        <v>43</v>
      </c>
      <c r="B95" s="28">
        <f>AVERAGEIFS(Data!J:J,Data!B:B,"West",Data!H:H,"Yes")</f>
        <v>3.21</v>
      </c>
      <c r="C95" s="28">
        <f>AVERAGEIFS(Data!J:J,Data!B:B,"West",Data!H:H,"No")</f>
        <v>3.685833333</v>
      </c>
    </row>
    <row r="96">
      <c r="A96" s="12" t="s">
        <v>49</v>
      </c>
      <c r="B96" s="28">
        <f>AVERAGEIFS(Data!J:J,Data!B:B,"East",Data!H:H,"Yes")</f>
        <v>3.304</v>
      </c>
      <c r="C96" s="28">
        <f>AVERAGEIFS(Data!J:J,Data!B:B,"East",Data!H:H,"No")</f>
        <v>3.4065</v>
      </c>
    </row>
    <row r="97">
      <c r="A97" s="12" t="s">
        <v>53</v>
      </c>
      <c r="B97" s="28">
        <f>AVERAGEIFS(Data!J:J,Data!B:B,"North",Data!H:H,"Yes")</f>
        <v>3.629</v>
      </c>
      <c r="C97" s="28">
        <f>AVERAGEIFS(Data!J:J,Data!B:B,"North",Data!H:H,"No")</f>
        <v>3.199166667</v>
      </c>
    </row>
    <row r="98">
      <c r="A98" s="12" t="s">
        <v>65</v>
      </c>
      <c r="B98" s="28">
        <f>AVERAGEIFS(Data!J:J,Data!B:B,"South",Data!H:H,"Yes")</f>
        <v>3.628</v>
      </c>
      <c r="C98" s="28">
        <f>AVERAGEIFS(Data!J:J,Data!B:B,"South",Data!H:H,"No")</f>
        <v>3.644117647</v>
      </c>
    </row>
  </sheetData>
  <mergeCells count="16">
    <mergeCell ref="A2:B2"/>
    <mergeCell ref="A22:B22"/>
    <mergeCell ref="B26:C26"/>
    <mergeCell ref="B27:D27"/>
    <mergeCell ref="B28:D28"/>
    <mergeCell ref="B29:D29"/>
    <mergeCell ref="B30:D30"/>
    <mergeCell ref="A75:B75"/>
    <mergeCell ref="A83:C83"/>
    <mergeCell ref="B31:D31"/>
    <mergeCell ref="B32:C32"/>
    <mergeCell ref="A35:B35"/>
    <mergeCell ref="A37:B37"/>
    <mergeCell ref="A39:B39"/>
    <mergeCell ref="A46:B46"/>
    <mergeCell ref="A56:B5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